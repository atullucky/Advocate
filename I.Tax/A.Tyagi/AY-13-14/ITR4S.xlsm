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activeX/activeX25.bin" ContentType="application/vnd.ms-office.activeX"/>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worksheets/sheet7.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activeX/activeX28.xml" ContentType="application/vnd.ms-office.activeX+xml"/>
  <Override PartName="/xl/activeX/activeX30.bin" ContentType="application/vnd.ms-office.activeX"/>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0.bin" ContentType="application/vnd.ms-office.activeX"/>
  <Override PartName="/xl/activeX/activeX15.xml" ContentType="application/vnd.ms-office.activeX+xml"/>
  <Override PartName="/xl/comments4.xml" ContentType="application/vnd.openxmlformats-officedocument.spreadsheetml.comments+xml"/>
  <Override PartName="/xl/activeX/activeX24.xml" ContentType="application/vnd.ms-office.activeX+xml"/>
  <Override PartName="/xl/activeX/activeX26.xml" ContentType="application/vnd.ms-office.activeX+xml"/>
  <Override PartName="/xl/activeX/activeX35.xml" ContentType="application/vnd.ms-office.activeX+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xl/activeX/activeX13.xml" ContentType="application/vnd.ms-office.activeX+xml"/>
  <Override PartName="/xl/activeX/activeX22.xml" ContentType="application/vnd.ms-office.activeX+xml"/>
  <Override PartName="/xl/activeX/activeX33.xml" ContentType="application/vnd.ms-office.activeX+xml"/>
  <Override PartName="/xl/worksheets/sheet1.xml" ContentType="application/vnd.openxmlformats-officedocument.spreadsheetml.worksheet+xml"/>
  <Override PartName="/xl/activeX/activeX9.bin" ContentType="application/vnd.ms-office.activeX"/>
  <Override PartName="/xl/activeX/activeX11.xml" ContentType="application/vnd.ms-office.activeX+xml"/>
  <Override PartName="/xl/activeX/activeX20.xml" ContentType="application/vnd.ms-office.activeX+xml"/>
  <Override PartName="/xl/activeX/activeX31.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activeX/activeX29.xml" ContentType="application/vnd.ms-office.activeX+xml"/>
  <Override PartName="/xl/worksheets/sheet6.xml" ContentType="application/vnd.openxmlformats-officedocument.spreadsheetml.worksheet+xml"/>
  <Override PartName="/xl/worksheets/sheet8.xml" ContentType="application/vnd.openxmlformats-officedocument.spreadsheetml.worksheet+xml"/>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activeX/activeX27.xml" ContentType="application/vnd.ms-office.activeX+xml"/>
  <Override PartName="/xl/activeX/activeX36.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xl/comments5.xml" ContentType="application/vnd.openxmlformats-officedocument.spreadsheetml.comments+xml"/>
  <Override PartName="/xl/activeX/activeX3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activeX/activeX14.xml" ContentType="application/vnd.ms-office.activeX+xml"/>
  <Override PartName="/xl/comments3.xml" ContentType="application/vnd.openxmlformats-officedocument.spreadsheetml.comments+xml"/>
  <Override PartName="/xl/activeX/activeX23.xml" ContentType="application/vnd.ms-office.activeX+xml"/>
  <Override PartName="/xl/activeX/activeX32.xml" ContentType="application/vnd.ms-office.activeX+xml"/>
  <Default Extension="vml" ContentType="application/vnd.openxmlformats-officedocument.vmlDrawing"/>
  <Override PartName="/xl/comments1.xml" ContentType="application/vnd.openxmlformats-officedocument.spreadsheetml.comments+xml"/>
  <Override PartName="/xl/activeX/activeX12.xml" ContentType="application/vnd.ms-office.activeX+xml"/>
  <Override PartName="/xl/activeX/activeX21.xml" ContentType="application/vnd.ms-office.activeX+xml"/>
  <Override PartName="/xl/activeX/activeX30.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29.bin" ContentType="application/vnd.ms-office.activeX"/>
  <Override PartName="/xl/activeX/activeX6.bin" ContentType="application/vnd.ms-office.activeX"/>
  <Override PartName="/xl/activeX/activeX18.bin" ContentType="application/vnd.ms-office.activeX"/>
  <Override PartName="/xl/activeX/activeX27.bin" ContentType="application/vnd.ms-office.activeX"/>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05" windowWidth="8475" windowHeight="5970" tabRatio="693" activeTab="8"/>
  </bookViews>
  <sheets>
    <sheet name="Income Details" sheetId="3" r:id="rId1"/>
    <sheet name="44AE" sheetId="13" r:id="rId2"/>
    <sheet name="NOB BP" sheetId="12" r:id="rId3"/>
    <sheet name="TDS" sheetId="9" r:id="rId4"/>
    <sheet name="Taxes paid and Verification" sheetId="4" r:id="rId5"/>
    <sheet name="80G" sheetId="11" r:id="rId6"/>
    <sheet name="Calculator" sheetId="10" state="hidden" r:id="rId7"/>
    <sheet name="Instructions" sheetId="8" state="hidden" r:id="rId8"/>
    <sheet name="Pre-XML Check" sheetId="7" r:id="rId9"/>
  </sheets>
  <functionGroups/>
  <definedNames>
    <definedName name="_Qtr1">TDS!$T$35</definedName>
    <definedName name="_Qtr2">TDS!$T$34</definedName>
    <definedName name="_Qtr3">TDS!$T$33</definedName>
    <definedName name="_Qtr4">TDS!$T$32</definedName>
    <definedName name="_Qtr5">TDS!$T$31</definedName>
    <definedName name="_Sat1">TDS!$U$35</definedName>
    <definedName name="_Sat10">TDS!$U$9</definedName>
    <definedName name="_Sat11">TDS!$U$8</definedName>
    <definedName name="_Sat12">TDS!$U$7</definedName>
    <definedName name="_Sat13">TDS!$V$35</definedName>
    <definedName name="_Sat14">TDS!$V$34</definedName>
    <definedName name="_Sat15">TDS!$V$16</definedName>
    <definedName name="_Sat16">TDS!$V$15</definedName>
    <definedName name="_Sat17">TDS!$V$14</definedName>
    <definedName name="_Sat18">TDS!$V$13</definedName>
    <definedName name="_Sat19">TDS!$V$12</definedName>
    <definedName name="_Sat2">TDS!$U$34</definedName>
    <definedName name="_Sat20">TDS!$V$11</definedName>
    <definedName name="_Sat21">TDS!$V$10</definedName>
    <definedName name="_Sat22">TDS!$V$9</definedName>
    <definedName name="_Sat23">TDS!$V$8</definedName>
    <definedName name="_Sat24">TDS!$V$7</definedName>
    <definedName name="_Sat3">TDS!$U$16</definedName>
    <definedName name="_Sat4">TDS!$U$15</definedName>
    <definedName name="_Sat5">TDS!$U$14</definedName>
    <definedName name="_Sat6">TDS!$U$13</definedName>
    <definedName name="_Sat7">TDS!$U$12</definedName>
    <definedName name="_Sat8">TDS!$U$11</definedName>
    <definedName name="_Sat9">TDS!$U$10</definedName>
    <definedName name="_SI1">Calculator!$O$12</definedName>
    <definedName name="_SI2">Calculator!$O$13</definedName>
    <definedName name="_SI3">Calculator!$O$14</definedName>
    <definedName name="_SI4">Calculator!$O$15</definedName>
    <definedName name="_SI5">Calculator!$O$16</definedName>
    <definedName name="_SI6">Calculator!$O$17</definedName>
    <definedName name="_sw1">Calculator!$N$3</definedName>
    <definedName name="_sw2">Calculator!$N$4</definedName>
    <definedName name="_sw3">Calculator!$M$4</definedName>
    <definedName name="_tds1">'Pre-XML Check'!$B$2</definedName>
    <definedName name="_tds2">'Pre-XML Check'!$B$3</definedName>
    <definedName name="AdvanceTax">TDS!$S$35</definedName>
    <definedName name="AggregateInc">Calculator!$M$3</definedName>
    <definedName name="AIR.Code001">'Taxes paid and Verification'!$E$15</definedName>
    <definedName name="AIR.Code002">'Taxes paid and Verification'!$J$15</definedName>
    <definedName name="AIR.Code003">'Taxes paid and Verification'!$E$16</definedName>
    <definedName name="AIR.Code004">'Taxes paid and Verification'!$J$16</definedName>
    <definedName name="AIR.Code005">'Taxes paid and Verification'!$E$17</definedName>
    <definedName name="AIR.Code006">'Taxes paid and Verification'!$J$17</definedName>
    <definedName name="AIR.Code007">'Taxes paid and Verification'!$E$18</definedName>
    <definedName name="AIR.Code008">'Taxes paid and Verification'!$J$18</definedName>
    <definedName name="AIR.TaxExmpIntInc">'Taxes paid and Verification'!$J$24</definedName>
    <definedName name="allincomes">Calculator!$Q$3</definedName>
    <definedName name="avgratetax">Calculator!$R$4</definedName>
    <definedName name="bankpayment">TDS!$A$35</definedName>
    <definedName name="BP_E1">'NOB BP'!$F$10</definedName>
    <definedName name="BP_E10">'NOB BP'!$F$26</definedName>
    <definedName name="BP_E2">'NOB BP'!$F$11</definedName>
    <definedName name="BP_E2NRI">Calculator!$M$2</definedName>
    <definedName name="BP_E3">'NOB BP'!$F$14</definedName>
    <definedName name="BP_E4">'NOB BP'!$F$15</definedName>
    <definedName name="BP_E5">'NOB BP'!$H$16</definedName>
    <definedName name="BP_E6">'NOB BP'!$H$18</definedName>
    <definedName name="BP_E7">'NOB BP'!$F$23</definedName>
    <definedName name="BP_E8">'NOB BP'!$F$24</definedName>
    <definedName name="BP_E9">'NOB BP'!$F$25</definedName>
    <definedName name="C_Eligible">'80G'!$L$1</definedName>
    <definedName name="Calc_234A">Calculator!$D$33</definedName>
    <definedName name="Calc_234B">Calculator!$D$34</definedName>
    <definedName name="Calc_234C">Calculator!$D$35</definedName>
    <definedName name="Calc_ED">Calculator!$D$25</definedName>
    <definedName name="calc_G">Calculator!$Q$8</definedName>
    <definedName name="Calc_NetSur">Calculator!$D$24</definedName>
    <definedName name="Calc_SplRate">Calculator!$D$20</definedName>
    <definedName name="CD_EligibleAmount">'80G'!$O$1</definedName>
    <definedName name="CDE_EligibleAmount">'80G'!$P$1</definedName>
    <definedName name="Clac_MR">Calculator!$D$23</definedName>
    <definedName name="cmb_IncD.BankAccountType">'Taxes paid and Verification'!$H$42:$H$45</definedName>
    <definedName name="cmb_IncD.EcsRequired">'Taxes paid and Verification'!$G$42:$G$44</definedName>
    <definedName name="cmb_Per10080G.StateCode">'80G'!$B$157:$B$193</definedName>
    <definedName name="cmb_TDSal.StateCode">TDS!$E$49:$E$84</definedName>
    <definedName name="Codes">'NOB BP'!$D$49:$D$124</definedName>
    <definedName name="D_Eligible">'80G'!$M$1</definedName>
    <definedName name="dateoffiling">Calculator!$C$30</definedName>
    <definedName name="DateOfProcessing">Calculator!$C$31</definedName>
    <definedName name="ded_usincome">Calculator!$Q$7</definedName>
    <definedName name="ded_usincome_44AD">Calculator!$I$13</definedName>
    <definedName name="duedate">Calculator!$C$32</definedName>
    <definedName name="E3_1">'44AE'!$D$7</definedName>
    <definedName name="E3_10">'44AE'!$D$16</definedName>
    <definedName name="E3_2">'44AE'!$D$8</definedName>
    <definedName name="E3_3">'44AE'!$D$9</definedName>
    <definedName name="E3_4">'44AE'!$D$10</definedName>
    <definedName name="E3_5">'44AE'!$D$11</definedName>
    <definedName name="E3_6">'44AE'!$D$12</definedName>
    <definedName name="E3_7">'44AE'!$D$13</definedName>
    <definedName name="E3_8">'44AE'!$D$14</definedName>
    <definedName name="E3_9">'44AE'!$D$15</definedName>
    <definedName name="E4_1">'44AE'!$D$23</definedName>
    <definedName name="E4_10">'44AE'!$D$32</definedName>
    <definedName name="E4_2">'44AE'!$D$24</definedName>
    <definedName name="E4_3">'44AE'!$D$25</definedName>
    <definedName name="E4_4">'44AE'!$D$26</definedName>
    <definedName name="E4_5">'44AE'!$D$27</definedName>
    <definedName name="E4_6">'44AE'!$D$28</definedName>
    <definedName name="E4_7">'44AE'!$D$29</definedName>
    <definedName name="E4_8">'44AE'!$D$30</definedName>
    <definedName name="E4_9">'44AE'!$D$31</definedName>
    <definedName name="edcess_stcgoththan111aincome">Calculator!$R$6</definedName>
    <definedName name="edcess_usincome">Calculator!$Q$6</definedName>
    <definedName name="FormulaOfQ">TDS!$T$38:$T$43</definedName>
    <definedName name="FormulaOfSAT">TDS!$U$38:$U$43</definedName>
    <definedName name="FormulaOfSI">Calculator!$L$12:$L$21</definedName>
    <definedName name="g_1">Calculator!$Q$9</definedName>
    <definedName name="g_2">Calculator!$Q$10</definedName>
    <definedName name="g_3">Calculator!$Q$11</definedName>
    <definedName name="g_4">Calculator!$Q$12</definedName>
    <definedName name="g_5">Calculator!$Q$13</definedName>
    <definedName name="GAT">Calculator!$M$6</definedName>
    <definedName name="gats">Calculator!$M$7</definedName>
    <definedName name="GATS_44AD">Calculator!$I$12</definedName>
    <definedName name="GTLR">Calculator!$C$26</definedName>
    <definedName name="GTLR_44AD">Calculator!$I$11</definedName>
    <definedName name="GTLRNEW">Calculator!$R$7</definedName>
    <definedName name="GTLS">Calculator!$D$26</definedName>
    <definedName name="h_1">Calculator!$R$9</definedName>
    <definedName name="h_2">Calculator!$R$10</definedName>
    <definedName name="h_3">Calculator!$R$11</definedName>
    <definedName name="h_4">Calculator!$R$12</definedName>
    <definedName name="h_5">Calculator!$R$13</definedName>
    <definedName name="HUF">Calculator!$M$38</definedName>
    <definedName name="HUF_AVG">Calculator!$X$38</definedName>
    <definedName name="HUF_ED">Calculator!$W$38</definedName>
    <definedName name="HUF_MR">Calculator!$U$38</definedName>
    <definedName name="HUF_NetSur">Calculator!$V$38</definedName>
    <definedName name="HUF_rebate">Calculator!$P$38</definedName>
    <definedName name="HUF_Surcharge">Calculator!$S$38</definedName>
    <definedName name="HUF_TH">Calculator!$N$38</definedName>
    <definedName name="i_before">Instructions!$B$43</definedName>
    <definedName name="i_fill">Instructions!$B$55</definedName>
    <definedName name="i_general">Instructions!$B$101</definedName>
    <definedName name="i_general2">Instructions!$B$117</definedName>
    <definedName name="i_generate">Instructions!$B$69</definedName>
    <definedName name="i_overview">Instructions!$B$26</definedName>
    <definedName name="i_print">Instructions!$B$74</definedName>
    <definedName name="i_structure">Instructions!$B$48</definedName>
    <definedName name="i_tds">Instructions!$B$526</definedName>
    <definedName name="i_validate">Instructions!$B$67</definedName>
    <definedName name="IE3_1">'44AE'!$C$7</definedName>
    <definedName name="IE3_10">'44AE'!$C$16</definedName>
    <definedName name="IE3_2">'44AE'!$C$8</definedName>
    <definedName name="IE3_3">'44AE'!$C$9</definedName>
    <definedName name="IE3_4">'44AE'!$C$10</definedName>
    <definedName name="IE3_5">'44AE'!$C$11</definedName>
    <definedName name="IE3_6">'44AE'!$C$12</definedName>
    <definedName name="IE3_7">'44AE'!$C$13</definedName>
    <definedName name="IE3_8">'44AE'!$C$14</definedName>
    <definedName name="IE3_9">'44AE'!$C$15</definedName>
    <definedName name="IE4_1">'44AE'!$C$23</definedName>
    <definedName name="IE4_10">'44AE'!$C$32</definedName>
    <definedName name="IE4_2">'44AE'!$C$24</definedName>
    <definedName name="IE4_3">'44AE'!$C$25</definedName>
    <definedName name="IE4_4">'44AE'!$C$26</definedName>
    <definedName name="IE4_5">'44AE'!$C$27</definedName>
    <definedName name="IE4_6">'44AE'!$C$28</definedName>
    <definedName name="IE4_7">'44AE'!$C$29</definedName>
    <definedName name="IE4_8">'44AE'!$C$30</definedName>
    <definedName name="IE4_9">'44AE'!$C$31</definedName>
    <definedName name="IncD.AdvanceTax">'Taxes paid and Verification'!$H$2</definedName>
    <definedName name="IncD.AggregateIncome">'Income Details'!$AM$67</definedName>
    <definedName name="IncD.BalTaxPayable">'Taxes paid and Verification'!$J$7</definedName>
    <definedName name="IncD.BankAccountNumber">'Taxes paid and Verification'!$H$9</definedName>
    <definedName name="IncD.BankAccountType">'Taxes paid and Verification'!$J$12</definedName>
    <definedName name="IncD.EcsRequired">'Taxes paid and Verification'!$J$10</definedName>
    <definedName name="IncD.EducationCess">'Income Details'!$AM$72</definedName>
    <definedName name="IncD.GrossTaxLiability">'Income Details'!$AM$73</definedName>
    <definedName name="IncD.GrossTotIncome">'Income Details'!$AM$44</definedName>
    <definedName name="IncD.IncomeFromBP">'Income Details'!$AM$40</definedName>
    <definedName name="IncD.IncomeFromHP">'Income Details'!$AM$42</definedName>
    <definedName name="IncD.IncomeFromOS">'Income Details'!$AM$43</definedName>
    <definedName name="IncD.IncomeFromSal">'Income Details'!$AM$41</definedName>
    <definedName name="IncD.IntrstPayUs234A">'Income Details'!$AM$77</definedName>
    <definedName name="IncD.IntrstPayUs234B">'Income Details'!$AM$78</definedName>
    <definedName name="IncD.IntrstPayUs234C">'Income Details'!$AM$79</definedName>
    <definedName name="IncD.MICRCode">'Taxes paid and Verification'!$E$12</definedName>
    <definedName name="IncD.NetAgriculturalIncome">'Income Details'!$AM$66</definedName>
    <definedName name="IncD.NetTaxLiability">'Income Details'!$AM$76</definedName>
    <definedName name="IncD.RebateOnAgriInc">'Income Details'!$AM$69</definedName>
    <definedName name="IncD.RefundDue">'Taxes paid and Verification'!$J$8</definedName>
    <definedName name="IncD.Section80C">'Income Details'!$Z$46</definedName>
    <definedName name="IncD.Section80C_Calc">'Income Details'!$AL$46</definedName>
    <definedName name="IncD.Section80CCC">'Income Details'!$Z$47</definedName>
    <definedName name="IncD.Section80CCC_Calc">'Income Details'!$AL$47</definedName>
    <definedName name="IncD.Section80CCD">'Income Details'!$Z$49</definedName>
    <definedName name="IncD.Section80CCD_Calc">'Income Details'!$AL$49</definedName>
    <definedName name="IncD.Section80CCD_Calc_SE">'Income Details'!$AL$48</definedName>
    <definedName name="IncD.Section80CCD_SE">'Income Details'!$Z$48</definedName>
    <definedName name="IncD.Section80CCF">'Income Details'!$Z$50</definedName>
    <definedName name="IncD.Section80CCF_Calc">'Income Details'!$AL$50</definedName>
    <definedName name="IncD.Section80CCG">'Income Details'!$Z$51</definedName>
    <definedName name="IncD.Section80CCG_Calc">'Income Details'!$AL$51</definedName>
    <definedName name="IncD.Section80D">'Income Details'!$Z$52</definedName>
    <definedName name="IncD.Section80D_Calc">'Income Details'!$AL$52</definedName>
    <definedName name="IncD.Section80DD">'Income Details'!$Z$53</definedName>
    <definedName name="IncD.Section80DD_Calc">'Income Details'!$AL$53</definedName>
    <definedName name="IncD.Section80DDB">'Income Details'!$Z$54</definedName>
    <definedName name="IncD.Section80DDB_Calc">'Income Details'!$AL$54</definedName>
    <definedName name="IncD.Section80E">'Income Details'!$Z$55</definedName>
    <definedName name="IncD.Section80E_Calc">'Income Details'!$AL$55</definedName>
    <definedName name="IncD.Section80G">'Income Details'!$Z$56</definedName>
    <definedName name="IncD.Section80G_Calc">'Income Details'!$AL$56</definedName>
    <definedName name="IncD.Section80GG">'Income Details'!$Z$57</definedName>
    <definedName name="IncD.Section80GG_Calc">'Income Details'!$AL$57</definedName>
    <definedName name="IncD.Section80GGA">'Income Details'!$Z$58</definedName>
    <definedName name="IncD.Section80GGA_Calc">'Income Details'!$AL$58</definedName>
    <definedName name="IncD.Section80GGC">'Income Details'!$Z$59</definedName>
    <definedName name="IncD.Section80GGC_Calc">'Income Details'!$AL$59</definedName>
    <definedName name="IncD.Section80QQB">'Income Details'!$Z$61</definedName>
    <definedName name="IncD.Section80QQB_Calc">'Income Details'!$AL$61</definedName>
    <definedName name="IncD.Section80RRB">'Income Details'!$Z$60</definedName>
    <definedName name="IncD.Section80RRB_Calc">'Income Details'!$AL$60</definedName>
    <definedName name="IncD.Section80TTA">'Income Details'!$Z$62</definedName>
    <definedName name="IncD.Section80TTA_Calc">'Income Details'!$AL$62</definedName>
    <definedName name="IncD.Section80U">'Income Details'!$Z$63</definedName>
    <definedName name="IncD.Section80U_Calc">'Income Details'!$AL$63</definedName>
    <definedName name="IncD.Section89">'Income Details'!$Z$74</definedName>
    <definedName name="IncD.Section90and91">'Income Details'!$Z$75</definedName>
    <definedName name="IncD.SelfAssessmentTax">'Taxes paid and Verification'!$H$5</definedName>
    <definedName name="IncD.SurchargeOnTaxPayable">'Income Details'!$Z$71</definedName>
    <definedName name="IncD.TaxOnAggregateInc">'Income Details'!$AM$68</definedName>
    <definedName name="IncD.TCS">'Taxes paid and Verification'!$H$4</definedName>
    <definedName name="IncD.TDS">'Taxes paid and Verification'!$H$3</definedName>
    <definedName name="IncD.TotalChapVIADeductions">'Income Details'!$AM$64</definedName>
    <definedName name="IncD.TotalChapVIADeductions_Input">'Income Details'!$Z$64</definedName>
    <definedName name="IncD.TotalIncome">'Income Details'!$AM$65</definedName>
    <definedName name="IncD.TotalIntrstPay">'Income Details'!$AM$80</definedName>
    <definedName name="IncD.TotalTaxesPaid">'Taxes paid and Verification'!$J$6</definedName>
    <definedName name="IncD.TotalTaxPayable">'Income Details'!$AM$70</definedName>
    <definedName name="IncD.TotTaxPlusIntrstPay">'Income Details'!$AM$81</definedName>
    <definedName name="IncD.TypeOfHP">'Income Details'!$AF$42</definedName>
    <definedName name="int234C">Calculator!$T$14</definedName>
    <definedName name="IT.Amt">TDS!$H$16:$H$38</definedName>
    <definedName name="IT.FormulaOFS">TDS!$S$38:$S$43</definedName>
    <definedName name="IT.FormulaOFS1">TDS!$S$38:$S$42</definedName>
    <definedName name="lotteryincome">Calculator!$R$3</definedName>
    <definedName name="NOB.Code">'NOB BP'!$C$3:$C$5</definedName>
    <definedName name="NOB.TradeNameOrDescription">'NOB BP'!$D$3:$D$5</definedName>
    <definedName name="NOB.TradeNameOrDescription2">'NOB BP'!$E$3:$E$5</definedName>
    <definedName name="NOB.TradeNameOrDescription3">'NOB BP'!$F$3:$F$5</definedName>
    <definedName name="NOR">Calculator!$M$36</definedName>
    <definedName name="NOR_AVG">Calculator!$X$36</definedName>
    <definedName name="NOR_ED">Calculator!$W$36</definedName>
    <definedName name="NOR_MR">Calculator!$U$36</definedName>
    <definedName name="NOR_NetSur">Calculator!$V$36</definedName>
    <definedName name="NOR_rebate">Calculator!$P$36</definedName>
    <definedName name="NOR_Surcharge">Calculator!$S$36</definedName>
    <definedName name="NOR_TH">Calculator!$N$36</definedName>
    <definedName name="NRI">Calculator!$M$35</definedName>
    <definedName name="NRI_AVG">Calculator!$X$35</definedName>
    <definedName name="NRI_ED">Calculator!$W$35</definedName>
    <definedName name="NRI_MR">Calculator!$U$35</definedName>
    <definedName name="NRI_NetSur">Calculator!$V$35</definedName>
    <definedName name="NRI_rebate">Calculator!$P$35</definedName>
    <definedName name="NRI_Surcharge">Calculator!$S$35</definedName>
    <definedName name="NRI_TH">Calculator!$N$35</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EligibleAmtCalc">'80G'!$O$4:$O$8</definedName>
    <definedName name="Per10080G.PinCode">'80G'!$G$4:$G$7</definedName>
    <definedName name="Per10080G.StateCode">'80G'!$F$4:$F$7</definedName>
    <definedName name="Per10080G.TotDon100Percent">'80G'!$I$9</definedName>
    <definedName name="Per10080G.TotElig100Percent">'80G'!$J$9</definedName>
    <definedName name="Per5080G.AddrDetail">'80G'!$D$47:$D$50</definedName>
    <definedName name="Per5080G.CityOrTownOrDistrict">'80G'!$E$47:$E$50</definedName>
    <definedName name="Per5080G.DonationAmt">'80G'!$I$47:$I$50</definedName>
    <definedName name="Per5080G.DoneePAN">'80G'!$H$47:$H$50</definedName>
    <definedName name="Per5080G.DoneeWithPanName">'80G'!$C$47:$C$50</definedName>
    <definedName name="Per5080G.EligibleAmt">'80G'!$J$47:$J$50</definedName>
    <definedName name="Per5080G.EligibleAmtCalc">'80G'!$O$47:$O$50</definedName>
    <definedName name="Per5080G.PinCode">'80G'!$G$47:$G$50</definedName>
    <definedName name="Per5080G.StateCode">'80G'!$F$47:$F$50</definedName>
    <definedName name="Per5080G.TotalDonationsUs80G">'80G'!$I$57</definedName>
    <definedName name="Per5080G.TotalEligibleDonationsUs80G">'80G'!$J$57</definedName>
    <definedName name="Per5080G.TotDon100Percent">'80G'!$I$52</definedName>
    <definedName name="Per5080G.TotElig100Percent">'80G'!$J$52</definedName>
    <definedName name="PerNO5080G.AddrDetail">'80G'!$D$17:$D$20</definedName>
    <definedName name="PerNO5080G.CityOrTownOrDistrict">'80G'!$E$17:$E$20</definedName>
    <definedName name="PerNO5080G.DonationAmt">'80G'!$I$17:$I$20</definedName>
    <definedName name="PerNO5080G.DoneeName">'80G'!$C$17:$C$20</definedName>
    <definedName name="PerNO5080G.DoneePAN">'80G'!$H$17:$H$20</definedName>
    <definedName name="PerNO5080G.EligibleAmt">'80G'!$J$17:$J$20</definedName>
    <definedName name="PerNO5080G.EligibleAmtCalc">'80G'!$O$17:$O$20</definedName>
    <definedName name="PerNO5080G.PinCode">'80G'!$G$17:$G$20</definedName>
    <definedName name="PerNO5080G.StateCode">'80G'!$F$17:$F$20</definedName>
    <definedName name="PerNO5080G.TotDon100Percent">'80G'!$I$22</definedName>
    <definedName name="PerNO5080G.TotElig100Percent">'80G'!$J$22</definedName>
    <definedName name="PerYES10080G.AddrDetail">'80G'!$D$32:$D$35</definedName>
    <definedName name="PerYES10080G.CityOrTownOrDistrict">'80G'!$E$32:$E$35</definedName>
    <definedName name="PerYES10080G.DonationAmt">'80G'!$I$32:$I$35</definedName>
    <definedName name="PerYES10080G.DoneePAN">'80G'!$H$32:$H$35</definedName>
    <definedName name="PerYES10080G.DoneeWithPanName">'80G'!$C$32:$C$35</definedName>
    <definedName name="PerYES10080G.EligibleAmt">'80G'!$J$32:$J$35</definedName>
    <definedName name="PerYES10080G.EligibleAmtCalc">'80G'!$O$32:$O$35</definedName>
    <definedName name="PerYES10080G.PinCode">'80G'!$G$32:$G$35</definedName>
    <definedName name="PerYES10080G.StateCode">'80G'!$F$32:$F$35</definedName>
    <definedName name="PerYES10080G.TotDon100Percent">'80G'!$I$37</definedName>
    <definedName name="PerYES10080G.TotElig100Percent">'80G'!$J$37</definedName>
    <definedName name="_xlnm.Print_Area" localSheetId="0">'Income Details'!$A$1:$AW$84</definedName>
    <definedName name="_xlnm.Print_Area" localSheetId="4">'Taxes paid and Verification'!$A$1:$K$38</definedName>
    <definedName name="QualifyingAmount80G">'80G'!$N$1</definedName>
    <definedName name="Rebate_AgriInc">Calculator!$C$18</definedName>
    <definedName name="Rebate_AgriInc_Calc">Calculator!$D$18</definedName>
    <definedName name="Res_F_AVG">Calculator!$X$33</definedName>
    <definedName name="Res_F_ED">Calculator!$W$33</definedName>
    <definedName name="Res_F_MR">Calculator!$U$33</definedName>
    <definedName name="Res_F_NetSur">Calculator!$V$33</definedName>
    <definedName name="Res_F_rebate">Calculator!$P$33</definedName>
    <definedName name="Res_F_RebateAgri">Calculator!$M$37</definedName>
    <definedName name="Res_F_Surcharge">Calculator!$S$33</definedName>
    <definedName name="Res_F_TH">Calculator!$N$33</definedName>
    <definedName name="Res_F_TXN">Calculator!$M$33</definedName>
    <definedName name="Res_M_AVG">Calculator!$X$32</definedName>
    <definedName name="Res_M_ED">Calculator!$W$32</definedName>
    <definedName name="Res_M_MR">Calculator!$U$32</definedName>
    <definedName name="Res_M_NetSur">Calculator!$V$32</definedName>
    <definedName name="Res_M_rebate">Calculator!$P$32</definedName>
    <definedName name="Res_M_Surcharge">Calculator!$S$32</definedName>
    <definedName name="Res_M_TH">Calculator!$N$32</definedName>
    <definedName name="Res_M_TXN">Calculator!$M$32</definedName>
    <definedName name="RES_senior">Calculator!$M$34</definedName>
    <definedName name="RES_senior_AVG">Calculator!$X$34</definedName>
    <definedName name="RES_senior_ED">Calculator!$W$34</definedName>
    <definedName name="RES_senior_MR">Calculator!$U$34</definedName>
    <definedName name="RES_senior_NetSur">Calculator!$V$34</definedName>
    <definedName name="RES_senior_rebate">Calculator!$P$34</definedName>
    <definedName name="RES_senior_Surcharge">Calculator!$S$34</definedName>
    <definedName name="RES_senior_TH">Calculator!$N$34</definedName>
    <definedName name="RES_ssenior">Calculator!$M$39</definedName>
    <definedName name="RES_ssenior_AVG">Calculator!$X$39</definedName>
    <definedName name="RES_ssenior_ED">Calculator!$W$39</definedName>
    <definedName name="RES_ssenior_MR">Calculator!$U$39</definedName>
    <definedName name="RES_ssenior_NetSur">Calculator!$V$39</definedName>
    <definedName name="RES_ssenior_rebate">Calculator!$P$39</definedName>
    <definedName name="RES_ssenior_Surcharge">Calculator!$S$39</definedName>
    <definedName name="RES_ssenior_TH">Calculator!$N$39</definedName>
    <definedName name="schtcs">TDS!$A$20</definedName>
    <definedName name="SelfAssessmentTax">TDS!$S$36</definedName>
    <definedName name="sheet1.CityOrTownOrDistrict" localSheetId="0">'Income Details'!$C$18</definedName>
    <definedName name="sheet1.CountryCode">'Income Details'!$AD$18</definedName>
    <definedName name="sheet1.DesigOfficerWardorCircle">'Income Details'!$C$24</definedName>
    <definedName name="sheet1.DOB" localSheetId="0">'Income Details'!$AK$14</definedName>
    <definedName name="sheet1.EmailAddress" localSheetId="0">'Income Details'!$C$22</definedName>
    <definedName name="sheet1.EmployerCategory" localSheetId="0">'Income Details'!$BC$20:$BC$24</definedName>
    <definedName name="sheet1.EmployerCategory1" localSheetId="0">'Income Details'!$AQ$22</definedName>
    <definedName name="sheet1.FirstName">'Income Details'!$C$6</definedName>
    <definedName name="sheet1.Gender" localSheetId="0">'Income Details'!$BB$27:$BB$29</definedName>
    <definedName name="sheet1.Gender1" localSheetId="0">'Income Details'!$AP$14</definedName>
    <definedName name="sheet1.LocalityOrArea">'Income Details'!$U$14</definedName>
    <definedName name="sheet1.MiddleName">'Income Details'!$M$6</definedName>
    <definedName name="sheet1.Mobileno">'Income Details'!$U$22</definedName>
    <definedName name="sheet1.MobileNoSec">'Income Details'!$AK$22</definedName>
    <definedName name="sheet1.newcountrycode">'Income Details'!$C$90:$C$285</definedName>
    <definedName name="sheet1.newstcode">'Income Details'!$BH$1:$BH$37</definedName>
    <definedName name="sheet1.NoticeDate">'Income Details'!$AM$31</definedName>
    <definedName name="sheet1.NoticeNo">'Income Details'!$U$31</definedName>
    <definedName name="sheet1.OrigRetFiledDate" localSheetId="0">'Income Details'!$AM$28</definedName>
    <definedName name="sheet1.PAN" localSheetId="0">'Income Details'!$AL$6</definedName>
    <definedName name="sheet1.PhoneNo" localSheetId="0">'Income Details'!$AD$22</definedName>
    <definedName name="sheet1.PinCode" localSheetId="0">'Income Details'!$AO$18</definedName>
    <definedName name="sheet1.PortugeseCC5A">'Income Details'!$Y$26</definedName>
    <definedName name="sheet1.ReceiptNo" localSheetId="0">'Income Details'!$U$28</definedName>
    <definedName name="sheet1.ReceiptNo1399">'Income Details'!$U$30</definedName>
    <definedName name="sheet1.ResidenceNo">'Income Details'!$C$10</definedName>
    <definedName name="sheet1.ResidentialStatus" localSheetId="0">'Income Details'!$BA$33:$BA$36</definedName>
    <definedName name="sheet1.ResidentialStatus1" localSheetId="0">'Income Details'!$U$32</definedName>
    <definedName name="sheet1.ReturnFileSec" localSheetId="0">'Income Details'!$AZ$32:$AZ$40</definedName>
    <definedName name="sheet1.ReturnFileSec1" localSheetId="0">'Income Details'!$AN$24</definedName>
    <definedName name="sheet1.ReturnType">'Income Details'!$V$101:$V$103</definedName>
    <definedName name="sheet1.ReturnType1" localSheetId="0">'Income Details'!$AN$26</definedName>
    <definedName name="sheet1.RoadOrStreet">'Income Details'!$C$14</definedName>
    <definedName name="sheet1.StateCode" localSheetId="0">'Income Details'!$BA$3:$BA$26</definedName>
    <definedName name="sheet1.StateCode1">'Income Details'!$U$18</definedName>
    <definedName name="sheet1.Status" localSheetId="0">'Income Details'!$AL$10</definedName>
    <definedName name="sheet1.Status1">'Income Details'!$BD$28:$BD$29</definedName>
    <definedName name="sheet1.STDcode" localSheetId="0">'Income Details'!$Y$22</definedName>
    <definedName name="sheet1.SurNameOrOrgName">'Income Details'!$U$6</definedName>
    <definedName name="sheet1.SwVersionNo">'Income Details'!$AZ$85</definedName>
    <definedName name="sheet1.TaxStatus">'Income Details'!$BC$31</definedName>
    <definedName name="SI.SplRateInc">Calculator!$E$12:$E$21</definedName>
    <definedName name="SplRate">Calculator!$C$20</definedName>
    <definedName name="Sur_Calc">Calculator!$D$22</definedName>
    <definedName name="Sur_limit">Calculator!$Q$32</definedName>
    <definedName name="Sur_Rate">Calculator!$R$32</definedName>
    <definedName name="sur_stcgoththan111aincome">Calculator!$R$5</definedName>
    <definedName name="sur_usincome">Calculator!$Q$5</definedName>
    <definedName name="TaxP.Amt">TDS!$E$38:$E$43</definedName>
    <definedName name="TaxP.Amt1">TDS!$E$38:$E$42</definedName>
    <definedName name="TaxP.BSRCode">TDS!$B$38:$B$43</definedName>
    <definedName name="TaxP.DateDep">TDS!$C$38:$C$43</definedName>
    <definedName name="TaxP.SrlNoOfChaln">TDS!$D$38:$D$43</definedName>
    <definedName name="tcs">'Pre-XML Check'!$B$4</definedName>
    <definedName name="TCS.AmtTCSClaimedThisYear">TDS!$F$23:$F$26</definedName>
    <definedName name="TCS.EmployerOrDeductorOrCollecterName">TDS!$D$23:$D$26</definedName>
    <definedName name="TCS.TAN">TDS!$C$23:$C$26</definedName>
    <definedName name="TCS.TotalTCS">TDS!$E$23:$E$26</definedName>
    <definedName name="TDS_Sum">TDS!$U$4</definedName>
    <definedName name="TDS2_Sum">TDS!$U$5</definedName>
    <definedName name="TDSal.EmployerOrDeductorOrCollecterName">TDS!$D$4:$D$6</definedName>
    <definedName name="TDSal.IncChrgSal">TDS!$E$4:$E$6</definedName>
    <definedName name="TDSal.TAN">TDS!$C$4:$C$6</definedName>
    <definedName name="TDSal.TotalTDSSal">TDS!$F$4:$F$6</definedName>
    <definedName name="TDSINCSAL.SUM">TDS!$U$3</definedName>
    <definedName name="tdsonsal">TDS!$A$1</definedName>
    <definedName name="tdsoth">TDS!$A$8</definedName>
    <definedName name="TDSoth.ClaimOutOfTotTDSOnAmtPaid">TDS!$N$11:$N$14</definedName>
    <definedName name="TDSoth.DeductedYear">TDS!$F$11:$F$14</definedName>
    <definedName name="TDSoth.EmployerOrDeductorOrCollecterName">TDS!$D$11:$D$14</definedName>
    <definedName name="TDSoth.TAN">TDS!$C$11:$C$14</definedName>
    <definedName name="TDSoth.TotTDSOnAmtPaid">TDS!$G$11:$G$14</definedName>
    <definedName name="TDSoth.UTN">TDS!$E$11:$E$14</definedName>
    <definedName name="THRESOLD">Calculator!$AE$6</definedName>
    <definedName name="TI">Calculator!$M$5</definedName>
    <definedName name="tp">'Pre-XML Check'!$B$5</definedName>
    <definedName name="TXN">Calculator!$C$17</definedName>
    <definedName name="TXN_Calc">Calculator!$D$17</definedName>
    <definedName name="usincome">Calculator!$Q$4</definedName>
    <definedName name="VE3_1">'44AE'!$B$7</definedName>
    <definedName name="VE3_10">'44AE'!$B$16</definedName>
    <definedName name="VE3_2">'44AE'!$B$8</definedName>
    <definedName name="VE3_3">'44AE'!$B$9</definedName>
    <definedName name="VE3_4">'44AE'!$B$10</definedName>
    <definedName name="VE3_5">'44AE'!$B$11</definedName>
    <definedName name="VE3_6">'44AE'!$B$12</definedName>
    <definedName name="VE3_7">'44AE'!$B$13</definedName>
    <definedName name="VE3_8">'44AE'!$B$14</definedName>
    <definedName name="VE3_9">'44AE'!$B$15</definedName>
    <definedName name="VE3E4_1">'44AE'!$D$36</definedName>
    <definedName name="VE4_1">'44AE'!$B$23</definedName>
    <definedName name="VE4_10">'44AE'!$B$32</definedName>
    <definedName name="VE4_2">'44AE'!$B$24</definedName>
    <definedName name="VE4_3">'44AE'!$B$25</definedName>
    <definedName name="VE4_4">'44AE'!$B$26</definedName>
    <definedName name="VE4_5">'44AE'!$B$27</definedName>
    <definedName name="VE4_6">'44AE'!$B$28</definedName>
    <definedName name="VE4_7">'44AE'!$B$29</definedName>
    <definedName name="VE4_8">'44AE'!$B$30</definedName>
    <definedName name="VE4_9">'44AE'!$B$31</definedName>
    <definedName name="Ver.AssesseeVerName">'Taxes paid and Verification'!$F$29</definedName>
    <definedName name="Ver.Date">'Taxes paid and Verification'!$H$32</definedName>
    <definedName name="Ver.FatherName">'Taxes paid and Verification'!$J$29</definedName>
    <definedName name="Ver.IdentificationNoOfTRP">'Taxes paid and Verification'!$A$36</definedName>
    <definedName name="Ver.NameOfTRP">'Taxes paid and Verification'!$F$36</definedName>
    <definedName name="Ver.PAN">'Taxes paid and Verification'!$C$33</definedName>
    <definedName name="Ver.Place">'Taxes paid and Verification'!$C$32</definedName>
    <definedName name="Ver.ReImbFrmGov">'Taxes paid and Verification'!$J$38</definedName>
    <definedName name="w_1">Calculator!$N$2</definedName>
    <definedName name="W1_44AD">Calculator!$I$10</definedName>
    <definedName name="w1deductions">Calculator!$O$3</definedName>
    <definedName name="ya">Calculator!$T$9</definedName>
    <definedName name="yb">Calculator!$T$10</definedName>
    <definedName name="yc">Calculator!$T$11</definedName>
    <definedName name="yd">Calculator!$T$12</definedName>
    <definedName name="ye">Calculator!$T$13</definedName>
  </definedNames>
  <calcPr calcId="124519"/>
</workbook>
</file>

<file path=xl/calcChain.xml><?xml version="1.0" encoding="utf-8"?>
<calcChain xmlns="http://schemas.openxmlformats.org/spreadsheetml/2006/main">
  <c r="M2" i="10"/>
  <c r="U38" i="9"/>
  <c r="T38"/>
  <c r="S38"/>
  <c r="R7" i="10"/>
  <c r="B50" i="11"/>
  <c r="B35"/>
  <c r="B20"/>
  <c r="B7"/>
  <c r="M1" i="4"/>
  <c r="C4" i="7"/>
  <c r="H4" i="4"/>
  <c r="D36" i="13"/>
  <c r="D24"/>
  <c r="D25"/>
  <c r="D26"/>
  <c r="D27"/>
  <c r="D28"/>
  <c r="D29"/>
  <c r="D30"/>
  <c r="D31"/>
  <c r="D32"/>
  <c r="D8"/>
  <c r="D9"/>
  <c r="D10"/>
  <c r="D11"/>
  <c r="D12"/>
  <c r="D13"/>
  <c r="D14"/>
  <c r="D15"/>
  <c r="D16"/>
  <c r="D7"/>
  <c r="D17"/>
  <c r="D23"/>
  <c r="P38" i="9"/>
  <c r="B9" i="7"/>
  <c r="U3" i="9"/>
  <c r="M4" i="10"/>
  <c r="O39"/>
  <c r="O38"/>
  <c r="O37"/>
  <c r="O36"/>
  <c r="O35"/>
  <c r="O34"/>
  <c r="O32"/>
  <c r="P43" i="9"/>
  <c r="S43"/>
  <c r="T43"/>
  <c r="P42"/>
  <c r="S42"/>
  <c r="T42"/>
  <c r="P41"/>
  <c r="S41"/>
  <c r="T41"/>
  <c r="P40"/>
  <c r="S40"/>
  <c r="T40"/>
  <c r="P39"/>
  <c r="U39"/>
  <c r="R38"/>
  <c r="I52" i="11"/>
  <c r="I37"/>
  <c r="I22"/>
  <c r="I9"/>
  <c r="B12" i="7"/>
  <c r="B11"/>
  <c r="B10"/>
  <c r="U5" i="9"/>
  <c r="U4"/>
  <c r="C2" i="7"/>
  <c r="C17" i="10"/>
  <c r="O33"/>
  <c r="R39" i="9"/>
  <c r="C31" i="10"/>
  <c r="R42" i="9"/>
  <c r="D21" i="10"/>
  <c r="D26"/>
  <c r="P10"/>
  <c r="S10"/>
  <c r="R43" i="9"/>
  <c r="R41"/>
  <c r="R40"/>
  <c r="Q5" i="10"/>
  <c r="Q6"/>
  <c r="R5"/>
  <c r="R6"/>
  <c r="Q43" i="9"/>
  <c r="Q42"/>
  <c r="Q41"/>
  <c r="Q40"/>
  <c r="Q39"/>
  <c r="Q38"/>
  <c r="C15" i="10"/>
  <c r="D15"/>
  <c r="C18"/>
  <c r="C24"/>
  <c r="C25"/>
  <c r="C35"/>
  <c r="C34"/>
  <c r="C33"/>
  <c r="U6" i="9"/>
  <c r="BA3" i="3"/>
  <c r="BA4"/>
  <c r="BA5"/>
  <c r="BA6"/>
  <c r="BA7"/>
  <c r="BA8"/>
  <c r="BA9"/>
  <c r="BA10"/>
  <c r="BA11"/>
  <c r="BA12"/>
  <c r="BA13"/>
  <c r="BA14"/>
  <c r="BA15"/>
  <c r="BA16"/>
  <c r="BA17"/>
  <c r="BA18"/>
  <c r="BA19"/>
  <c r="BA20"/>
  <c r="BA21"/>
  <c r="BA22"/>
  <c r="BA23"/>
  <c r="BA24"/>
  <c r="BA25"/>
  <c r="BA26"/>
  <c r="AM73"/>
  <c r="AM76"/>
  <c r="AM81"/>
  <c r="C21" i="10"/>
  <c r="B13" i="7"/>
  <c r="S39" i="9"/>
  <c r="U43"/>
  <c r="U42"/>
  <c r="U41"/>
  <c r="U34"/>
  <c r="U40"/>
  <c r="V13"/>
  <c r="W45"/>
  <c r="U14"/>
  <c r="U11"/>
  <c r="V7"/>
  <c r="U35"/>
  <c r="V34"/>
  <c r="V45"/>
  <c r="U9"/>
  <c r="U16"/>
  <c r="V16"/>
  <c r="V9"/>
  <c r="U10"/>
  <c r="U12"/>
  <c r="U15"/>
  <c r="U7"/>
  <c r="U8"/>
  <c r="V14"/>
  <c r="U13"/>
  <c r="S35"/>
  <c r="H2" i="4"/>
  <c r="S36" i="9"/>
  <c r="H5" i="4"/>
  <c r="T39" i="9"/>
  <c r="V11"/>
  <c r="V8"/>
  <c r="W46"/>
  <c r="V15"/>
  <c r="V10"/>
  <c r="V46"/>
  <c r="V12"/>
  <c r="V35"/>
  <c r="T33"/>
  <c r="R11" i="10"/>
  <c r="T34" i="9"/>
  <c r="R10" i="10"/>
  <c r="T32" i="9"/>
  <c r="R12" i="10"/>
  <c r="T35" i="9"/>
  <c r="R9" i="10"/>
  <c r="T9"/>
  <c r="U45" i="9"/>
  <c r="T31"/>
  <c r="R13" i="10"/>
  <c r="U46" i="9"/>
  <c r="D33" i="13"/>
  <c r="F15" i="12"/>
  <c r="I57" i="11"/>
  <c r="C3" i="7"/>
  <c r="C5"/>
  <c r="H3" i="4"/>
  <c r="J6" s="1"/>
  <c r="R8" i="10"/>
  <c r="Q8"/>
  <c r="C26"/>
  <c r="Q7"/>
  <c r="D35" i="13"/>
  <c r="F14" i="12"/>
  <c r="H16"/>
  <c r="H18"/>
  <c r="AM40" i="3"/>
  <c r="AM44"/>
  <c r="C13" i="10"/>
  <c r="M6"/>
  <c r="N2"/>
  <c r="M7"/>
  <c r="Q13"/>
  <c r="T13"/>
  <c r="Q12"/>
  <c r="T12"/>
  <c r="Q11"/>
  <c r="T11"/>
  <c r="Q10"/>
  <c r="T10"/>
  <c r="AL55" i="3"/>
  <c r="AL53"/>
  <c r="AL52"/>
  <c r="AL60"/>
  <c r="AL58"/>
  <c r="J5" i="11"/>
  <c r="O5"/>
  <c r="AL62" i="3"/>
  <c r="AL46"/>
  <c r="AL51"/>
  <c r="AL61"/>
  <c r="J17" i="11"/>
  <c r="O17"/>
  <c r="AL63" i="3"/>
  <c r="J19" i="11"/>
  <c r="O19"/>
  <c r="J6"/>
  <c r="O6"/>
  <c r="J7"/>
  <c r="O7"/>
  <c r="AL54" i="3"/>
  <c r="J20" i="11"/>
  <c r="O20"/>
  <c r="J4"/>
  <c r="J18"/>
  <c r="O18"/>
  <c r="AL59" i="3"/>
  <c r="AL50"/>
  <c r="AL49"/>
  <c r="T14" i="10"/>
  <c r="J9" i="11"/>
  <c r="O4"/>
  <c r="J22"/>
  <c r="AL47" i="3"/>
  <c r="AL48"/>
  <c r="N1" i="11" s="1"/>
  <c r="O1" l="1"/>
  <c r="J33"/>
  <c r="O33" s="1"/>
  <c r="J32"/>
  <c r="J35"/>
  <c r="O35" s="1"/>
  <c r="J34"/>
  <c r="O34" s="1"/>
  <c r="J7" i="4"/>
  <c r="J8"/>
  <c r="L1" i="11" l="1"/>
  <c r="J37" s="1"/>
  <c r="O32"/>
  <c r="P1"/>
  <c r="J50" l="1"/>
  <c r="O50" s="1"/>
  <c r="J47"/>
  <c r="J49"/>
  <c r="O49" s="1"/>
  <c r="J52"/>
  <c r="J57" s="1"/>
  <c r="J48"/>
  <c r="O48" s="1"/>
  <c r="AL56" i="3" l="1"/>
  <c r="Z56"/>
  <c r="Z64" s="1"/>
  <c r="M1" i="11"/>
  <c r="O47"/>
  <c r="AL57" i="3" l="1"/>
  <c r="AM64"/>
  <c r="O3" i="10" l="1"/>
  <c r="AM65" i="3"/>
  <c r="AM67" s="1"/>
  <c r="C16" i="10" s="1"/>
  <c r="Q3" l="1"/>
  <c r="D13" s="1"/>
  <c r="N3"/>
  <c r="M5" l="1"/>
  <c r="M3"/>
  <c r="M36" l="1"/>
  <c r="M35"/>
  <c r="M37"/>
  <c r="M39"/>
  <c r="D16"/>
  <c r="M32"/>
  <c r="M33"/>
  <c r="M34"/>
  <c r="M38"/>
  <c r="S37"/>
  <c r="S39"/>
  <c r="T33"/>
  <c r="S36"/>
  <c r="S34"/>
  <c r="U34"/>
  <c r="T35"/>
  <c r="X34"/>
  <c r="U37"/>
  <c r="X37" s="1"/>
  <c r="T36"/>
  <c r="U32"/>
  <c r="T34"/>
  <c r="U36"/>
  <c r="X36" s="1"/>
  <c r="S38"/>
  <c r="S35"/>
  <c r="U33"/>
  <c r="X33" s="1"/>
  <c r="T37"/>
  <c r="U38"/>
  <c r="X32"/>
  <c r="T39"/>
  <c r="X38"/>
  <c r="T38"/>
  <c r="U35"/>
  <c r="X35" s="1"/>
  <c r="T32"/>
  <c r="S32"/>
  <c r="V32" s="1"/>
  <c r="U39"/>
  <c r="X39" s="1"/>
  <c r="S33"/>
  <c r="V33" s="1"/>
  <c r="P38" l="1"/>
  <c r="W38"/>
  <c r="P39"/>
  <c r="P34"/>
  <c r="W34"/>
  <c r="P33"/>
  <c r="W33"/>
  <c r="P32"/>
  <c r="W32"/>
  <c r="P37"/>
  <c r="W37"/>
  <c r="P35"/>
  <c r="W35"/>
  <c r="P36"/>
  <c r="W36"/>
  <c r="V35"/>
  <c r="V38"/>
  <c r="V34"/>
  <c r="V36"/>
  <c r="V39"/>
  <c r="V37"/>
  <c r="W39"/>
</calcChain>
</file>

<file path=xl/comments1.xml><?xml version="1.0" encoding="utf-8"?>
<comments xmlns="http://schemas.openxmlformats.org/spreadsheetml/2006/main">
  <authors>
    <author>zankar</author>
    <author>AK</author>
    <author>SAM</author>
    <author>JLIMS</author>
    <author>Jagruti</author>
  </authors>
  <commentList>
    <comment ref="C6" authorId="0">
      <text>
        <r>
          <rPr>
            <sz val="8"/>
            <color indexed="81"/>
            <rFont val="Tahoma"/>
            <family val="2"/>
          </rPr>
          <t>Enter first name</t>
        </r>
      </text>
    </comment>
    <comment ref="M6" authorId="0">
      <text>
        <r>
          <rPr>
            <sz val="8"/>
            <color indexed="81"/>
            <rFont val="Tahoma"/>
            <family val="2"/>
          </rPr>
          <t>Enter middle name, if any</t>
        </r>
      </text>
    </comment>
    <comment ref="U6" authorId="0">
      <text>
        <r>
          <rPr>
            <sz val="8"/>
            <color indexed="81"/>
            <rFont val="Tahoma"/>
            <family val="2"/>
          </rPr>
          <t>Last name / Surname should not be blank</t>
        </r>
      </text>
    </comment>
    <comment ref="AL6" authorId="0">
      <text>
        <r>
          <rPr>
            <sz val="8"/>
            <color indexed="81"/>
            <rFont val="Tahoma"/>
            <family val="2"/>
          </rPr>
          <t>PAN: First five alphabets, next four digits, then alphabet (exactly 10 chars)</t>
        </r>
      </text>
    </comment>
    <comment ref="AK14" authorId="0">
      <text>
        <r>
          <rPr>
            <sz val="8"/>
            <color indexed="81"/>
            <rFont val="Tahoma"/>
            <family val="2"/>
          </rPr>
          <t>Should be in DD/MM/YYYY format only. DoB should be before 01/04/2013</t>
        </r>
      </text>
    </comment>
    <comment ref="AO18" authorId="0">
      <text>
        <r>
          <rPr>
            <sz val="8"/>
            <color indexed="81"/>
            <rFont val="Tahoma"/>
            <family val="2"/>
          </rPr>
          <t>Enter six digit pin code (NRI can enter 999999)</t>
        </r>
      </text>
    </comment>
    <comment ref="C22" authorId="0">
      <text>
        <r>
          <rPr>
            <sz val="8"/>
            <color indexed="81"/>
            <rFont val="Tahoma"/>
            <family val="2"/>
          </rPr>
          <t>The e-mail id should be of the taxpayer himself.</t>
        </r>
      </text>
    </comment>
    <comment ref="U22" authorId="1">
      <text>
        <r>
          <rPr>
            <b/>
            <sz val="10"/>
            <color indexed="81"/>
            <rFont val="Tahoma"/>
            <family val="2"/>
          </rPr>
          <t xml:space="preserve">Mobile number : </t>
        </r>
        <r>
          <rPr>
            <sz val="10"/>
            <color indexed="81"/>
            <rFont val="Tahoma"/>
            <family val="2"/>
          </rPr>
          <t>Must be 10 digits.</t>
        </r>
      </text>
    </comment>
    <comment ref="Y22" authorId="0">
      <text>
        <r>
          <rPr>
            <sz val="8"/>
            <color indexed="81"/>
            <rFont val="Tahoma"/>
            <family val="2"/>
          </rPr>
          <t xml:space="preserve">Do not prefix '0' before STD code. </t>
        </r>
      </text>
    </comment>
    <comment ref="AD22" authorId="0">
      <text>
        <r>
          <rPr>
            <sz val="8"/>
            <color indexed="81"/>
            <rFont val="Tahoma"/>
            <family val="2"/>
          </rPr>
          <t>Enter your Phone Number</t>
        </r>
      </text>
    </comment>
    <comment ref="AK22" authorId="1">
      <text>
        <r>
          <rPr>
            <b/>
            <sz val="10"/>
            <color indexed="81"/>
            <rFont val="Tahoma"/>
            <family val="2"/>
          </rPr>
          <t xml:space="preserve">Mobile number : </t>
        </r>
        <r>
          <rPr>
            <sz val="10"/>
            <color indexed="81"/>
            <rFont val="Tahoma"/>
            <family val="2"/>
          </rPr>
          <t>Must be 10 digits.</t>
        </r>
      </text>
    </comment>
    <comment ref="AQ22" authorId="0">
      <text>
        <r>
          <rPr>
            <sz val="8"/>
            <color indexed="81"/>
            <rFont val="Tahoma"/>
            <family val="2"/>
          </rPr>
          <t>Select from list provided. If not employed or for HUF use 'OTH'</t>
        </r>
      </text>
    </comment>
    <comment ref="C24" authorId="0">
      <text>
        <r>
          <rPr>
            <sz val="8"/>
            <color indexed="81"/>
            <rFont val="Tahoma"/>
            <family val="2"/>
          </rPr>
          <t>Enter the jurisdiction of Assessing Officer.</t>
        </r>
      </text>
    </comment>
    <comment ref="AN24" authorId="0">
      <text>
        <r>
          <rPr>
            <sz val="8"/>
            <color indexed="81"/>
            <rFont val="Tahoma"/>
            <family val="2"/>
          </rPr>
          <t xml:space="preserve">Select from list provided. </t>
        </r>
      </text>
    </comment>
    <comment ref="AN26" authorId="0">
      <text>
        <r>
          <rPr>
            <sz val="8"/>
            <color indexed="81"/>
            <rFont val="Tahoma"/>
            <family val="2"/>
          </rPr>
          <t>Select from list provided. If this is the only Return then select 'Original' if you have already filed your return for this year and would like to make changes then select 'Revised'</t>
        </r>
      </text>
    </comment>
    <comment ref="AM28" authorId="0">
      <text>
        <r>
          <rPr>
            <sz val="8"/>
            <color indexed="81"/>
            <rFont val="Tahoma"/>
            <family val="2"/>
          </rPr>
          <t>On or after 01/04/2012
Enter the Acknowledgement number and date of filing of Original return</t>
        </r>
      </text>
    </comment>
    <comment ref="C30" authorId="2">
      <text>
        <r>
          <rPr>
            <b/>
            <sz val="8"/>
            <color indexed="81"/>
            <rFont val="Tahoma"/>
            <family val="2"/>
          </rPr>
          <t>S.139(9) If filed u/s 139(9), then mention Original Receipt No</t>
        </r>
      </text>
    </comment>
    <comment ref="C31" authorId="2">
      <text>
        <r>
          <rPr>
            <b/>
            <sz val="8"/>
            <color indexed="81"/>
            <rFont val="Tahoma"/>
            <family val="2"/>
          </rPr>
          <t>S.139(9) If filed u/s 139(9), then mention Notice No or Communication Reference No and Notice Date</t>
        </r>
      </text>
    </comment>
    <comment ref="U31" authorId="2">
      <text>
        <r>
          <rPr>
            <b/>
            <sz val="8"/>
            <color indexed="81"/>
            <rFont val="Tahoma"/>
            <family val="2"/>
          </rPr>
          <t>Notice No : 23 characters . (Communication Reference No)</t>
        </r>
      </text>
    </comment>
    <comment ref="AM31" authorId="0">
      <text>
        <r>
          <rPr>
            <sz val="8"/>
            <color indexed="81"/>
            <rFont val="Tahoma"/>
            <family val="2"/>
          </rPr>
          <t>Enter the Notice Date in dd/mm/yyyy format</t>
        </r>
      </text>
    </comment>
    <comment ref="BC31" authorId="0">
      <text>
        <r>
          <rPr>
            <sz val="8"/>
            <color indexed="81"/>
            <rFont val="Tahoma"/>
            <family val="2"/>
          </rPr>
          <t xml:space="preserve">Tax Status : </t>
        </r>
      </text>
    </comment>
    <comment ref="U32" authorId="0">
      <text>
        <r>
          <rPr>
            <sz val="8"/>
            <color indexed="81"/>
            <rFont val="Tahoma"/>
            <family val="2"/>
          </rPr>
          <t xml:space="preserve">Select from list provided. </t>
        </r>
      </text>
    </comment>
    <comment ref="AF42" authorId="0">
      <text>
        <r>
          <rPr>
            <sz val="8"/>
            <color indexed="81"/>
            <rFont val="Tahoma"/>
            <family val="2"/>
          </rPr>
          <t>Select from list provided. If you have income or loss from House Property, whether the House Property is Self Occupied or Let Out.</t>
        </r>
      </text>
    </comment>
    <comment ref="Z51" authorId="3">
      <text>
        <r>
          <rPr>
            <b/>
            <sz val="8"/>
            <color indexed="81"/>
            <rFont val="Tahoma"/>
            <charset val="1"/>
          </rPr>
          <t>80CCG Deduction. Enter Deduction Amount, do not enter Investment Amount</t>
        </r>
      </text>
    </comment>
    <comment ref="Z52" authorId="4">
      <text>
        <r>
          <rPr>
            <b/>
            <sz val="8"/>
            <color indexed="81"/>
            <rFont val="Tahoma"/>
            <family val="2"/>
          </rPr>
          <t>80D Mediclaim insurance. Maximum eligible amount is Rs. 35000. (Rs. 40000 for senior citizen).</t>
        </r>
      </text>
    </comment>
    <comment ref="Z53" authorId="4">
      <text>
        <r>
          <rPr>
            <b/>
            <sz val="8"/>
            <color indexed="81"/>
            <rFont val="Tahoma"/>
            <family val="2"/>
          </rPr>
          <t>80DD Expenditure for medical treatment for dependent relative. Maximum eligible amount is Rs. 50000 (Rs. 100000 for severe disability).</t>
        </r>
      </text>
    </comment>
    <comment ref="Z54" authorId="4">
      <text>
        <r>
          <rPr>
            <b/>
            <sz val="8"/>
            <color indexed="81"/>
            <rFont val="Tahoma"/>
            <family val="2"/>
          </rPr>
          <t xml:space="preserve">80DDB Medical Expenditure for specified diseases. Maximum eligible amount is Rs.40000. (Rs. 60000 for senior citizen). </t>
        </r>
      </text>
    </comment>
    <comment ref="Z63" authorId="4">
      <text>
        <r>
          <rPr>
            <b/>
            <sz val="8"/>
            <color indexed="81"/>
            <rFont val="Tahoma"/>
            <family val="2"/>
          </rPr>
          <t>80U Deduction in case of person with disability. Maximum eligible amount Rs 50000. (Rs. 100000 for severe disability).</t>
        </r>
      </text>
    </comment>
    <comment ref="AM66" authorId="0">
      <text>
        <r>
          <rPr>
            <sz val="8"/>
            <color indexed="81"/>
            <rFont val="Tahoma"/>
            <family val="2"/>
          </rPr>
          <t>Enter if net agriculture income exceed Rs 5000 and Total income is greater than Rs 100,000. Do not enter negetive value</t>
        </r>
      </text>
    </comment>
    <comment ref="AM68" authorId="0">
      <text>
        <r>
          <rPr>
            <sz val="8"/>
            <color indexed="81"/>
            <rFont val="Tahoma"/>
            <family val="2"/>
          </rPr>
          <t>Calculate tax as per Tax Table in Instuctions</t>
        </r>
      </text>
    </comment>
    <comment ref="AM69" authorId="0">
      <text>
        <r>
          <rPr>
            <sz val="8"/>
            <color indexed="81"/>
            <rFont val="Tahoma"/>
            <family val="2"/>
          </rPr>
          <t>Calculate rebate on net agriculture income as per IT acts. Default is '0', if there is no agriculture income.</t>
        </r>
      </text>
    </comment>
    <comment ref="Z71" authorId="0">
      <text>
        <r>
          <rPr>
            <sz val="8"/>
            <color indexed="81"/>
            <rFont val="Tahoma"/>
            <family val="2"/>
          </rPr>
          <t>Calculate surcharge at 10% on tax payable as per Instructions if total income exceeds Rs 10,00,000. Round off nearest Rupee.</t>
        </r>
      </text>
    </comment>
    <comment ref="Z74" authorId="0">
      <text>
        <r>
          <rPr>
            <sz val="8"/>
            <color indexed="81"/>
            <rFont val="Tahoma"/>
            <family val="2"/>
          </rPr>
          <t>Calculate relief u/s 89 as per IT Act in case of receipt of arrears of salary.or advances of salary recieved during the year.</t>
        </r>
      </text>
    </comment>
    <comment ref="Z75" authorId="0">
      <text>
        <r>
          <rPr>
            <sz val="8"/>
            <color indexed="81"/>
            <rFont val="Tahoma"/>
            <family val="2"/>
          </rPr>
          <t>Calculate relief u/s 90 or 91 as per IT Act in case of tax paid outside India</t>
        </r>
      </text>
    </comment>
    <comment ref="AM77" authorId="0">
      <text>
        <r>
          <rPr>
            <sz val="8"/>
            <color indexed="81"/>
            <rFont val="Tahoma"/>
            <family val="2"/>
          </rPr>
          <t>Calculate interest  in case of delay of filing return as per IT Act. Round off interest amount to the nearest rupee.</t>
        </r>
      </text>
    </comment>
    <comment ref="AM78" authorId="0">
      <text>
        <r>
          <rPr>
            <sz val="8"/>
            <color indexed="81"/>
            <rFont val="Tahoma"/>
            <family val="2"/>
          </rPr>
          <t>Calculate interest  in case of default in payment of advance tax as per IT Act. Round off interest amount to the nearest rupee.</t>
        </r>
      </text>
    </comment>
    <comment ref="AM79" authorId="0">
      <text>
        <r>
          <rPr>
            <sz val="8"/>
            <color indexed="81"/>
            <rFont val="Tahoma"/>
            <family val="2"/>
          </rPr>
          <t>Calculate intertest in case of default in payment of appropriate instalment of advance tax as per IT Act.Round off interest amount to the nearest rupee</t>
        </r>
      </text>
    </comment>
  </commentList>
</comments>
</file>

<file path=xl/comments2.xml><?xml version="1.0" encoding="utf-8"?>
<comments xmlns="http://schemas.openxmlformats.org/spreadsheetml/2006/main">
  <authors>
    <author>SAM</author>
  </authors>
  <commentList>
    <comment ref="B5" authorId="0">
      <text>
        <r>
          <rPr>
            <b/>
            <sz val="8"/>
            <color indexed="81"/>
            <rFont val="Tahoma"/>
            <family val="2"/>
          </rPr>
          <t>Holding Vehicle for Period in Months :  Period of holding of vehicles for the business of plying, hiring, or leasing goods carriage in months(part of the month shall be deemd as full month)</t>
        </r>
      </text>
    </comment>
    <comment ref="C5" authorId="0">
      <text>
        <r>
          <rPr>
            <b/>
            <sz val="8"/>
            <color indexed="81"/>
            <rFont val="Tahoma"/>
            <family val="2"/>
          </rPr>
          <t>Income : Amount of income per vehicle (must be greater than or equal to Rs 5000)</t>
        </r>
      </text>
    </comment>
    <comment ref="D5" authorId="0">
      <text>
        <r>
          <rPr>
            <b/>
            <sz val="8"/>
            <color indexed="81"/>
            <rFont val="Tahoma"/>
            <family val="2"/>
          </rPr>
          <t xml:space="preserve">Income : Amount deemed to be income from Heavy vehicle </t>
        </r>
      </text>
    </comment>
    <comment ref="B21" authorId="0">
      <text>
        <r>
          <rPr>
            <b/>
            <sz val="8"/>
            <color indexed="81"/>
            <rFont val="Tahoma"/>
            <family val="2"/>
          </rPr>
          <t>Holding Vehicle for Period in Months :   Period of holding of vehicles for the business of plying, hiring, or leasing goods carriagein months(part of the month shall be deemd as full month)</t>
        </r>
      </text>
    </comment>
    <comment ref="C21" authorId="0">
      <text>
        <r>
          <rPr>
            <b/>
            <sz val="8"/>
            <color indexed="81"/>
            <rFont val="Tahoma"/>
            <family val="2"/>
          </rPr>
          <t>Income : Amount of income per vehicle  (must be greater than or equal to Rs 4500)</t>
        </r>
      </text>
    </comment>
    <comment ref="D21" authorId="0">
      <text>
        <r>
          <rPr>
            <b/>
            <sz val="8"/>
            <color indexed="81"/>
            <rFont val="Tahoma"/>
            <family val="2"/>
          </rPr>
          <t>Amount deemed to be income from Light vehicle</t>
        </r>
      </text>
    </comment>
  </commentList>
</comments>
</file>

<file path=xl/comments3.xml><?xml version="1.0" encoding="utf-8"?>
<comments xmlns="http://schemas.openxmlformats.org/spreadsheetml/2006/main">
  <authors>
    <author>SAM</author>
  </authors>
  <commentList>
    <comment ref="C14" authorId="0">
      <text>
        <r>
          <rPr>
            <b/>
            <sz val="8"/>
            <color indexed="81"/>
            <rFont val="Tahoma"/>
            <family val="2"/>
          </rPr>
          <t xml:space="preserve">If ITR 4S has been filed then  presumptive income u/s 44AE should not be less than Rs. 5,000 p.m. per vehicle in case of heavy vehicles
</t>
        </r>
      </text>
    </comment>
    <comment ref="C15" authorId="0">
      <text>
        <r>
          <rPr>
            <b/>
            <sz val="8"/>
            <color indexed="81"/>
            <rFont val="Tahoma"/>
            <family val="2"/>
          </rPr>
          <t>If ITR 4S has been filed then presumptive income u/s 44AE should not be less than Rs 4,500 p.m. per vehicle in case of other vehicles</t>
        </r>
      </text>
    </comment>
  </commentList>
</comments>
</file>

<file path=xl/comments4.xml><?xml version="1.0" encoding="utf-8"?>
<comments xmlns="http://schemas.openxmlformats.org/spreadsheetml/2006/main">
  <authors>
    <author>zankar</author>
    <author>SAM</author>
  </authors>
  <commentList>
    <comment ref="C4" authorId="0">
      <text>
        <r>
          <rPr>
            <sz val="8"/>
            <color indexed="81"/>
            <rFont val="Tahoma"/>
            <family val="2"/>
          </rPr>
          <t>First four alphabets, next five digits, then alphabet(exactly 10 chars). Quote valid TAN to ensure credit for TDS</t>
        </r>
      </text>
    </comment>
    <comment ref="D4" authorId="0">
      <text>
        <r>
          <rPr>
            <sz val="8"/>
            <color indexed="81"/>
            <rFont val="Tahoma"/>
            <family val="2"/>
          </rPr>
          <t>Enter name of employer</t>
        </r>
      </text>
    </comment>
    <comment ref="E4" authorId="0">
      <text>
        <r>
          <rPr>
            <sz val="8"/>
            <color indexed="81"/>
            <rFont val="Tahoma"/>
            <family val="2"/>
          </rPr>
          <t>Enter details from Form 16</t>
        </r>
      </text>
    </comment>
    <comment ref="F4" authorId="0">
      <text>
        <r>
          <rPr>
            <sz val="8"/>
            <color indexed="81"/>
            <rFont val="Tahoma"/>
            <family val="2"/>
          </rPr>
          <t>Enter details from Form 16. Round off to nearest Rupee. This is the value TDS to be included in item 16b</t>
        </r>
      </text>
    </comment>
    <comment ref="C5" authorId="0">
      <text>
        <r>
          <rPr>
            <sz val="8"/>
            <color indexed="81"/>
            <rFont val="Tahoma"/>
            <family val="2"/>
          </rPr>
          <t>First four alphabets, next five digits, then alphabet(exactly 10 chars). Quote valid TAN to ensure credit for TDS</t>
        </r>
      </text>
    </comment>
    <comment ref="D5" authorId="0">
      <text>
        <r>
          <rPr>
            <sz val="8"/>
            <color indexed="81"/>
            <rFont val="Tahoma"/>
            <family val="2"/>
          </rPr>
          <t>Enter name of employer</t>
        </r>
      </text>
    </comment>
    <comment ref="E5" authorId="0">
      <text>
        <r>
          <rPr>
            <sz val="8"/>
            <color indexed="81"/>
            <rFont val="Tahoma"/>
            <family val="2"/>
          </rPr>
          <t>Enter details from Form 16</t>
        </r>
      </text>
    </comment>
    <comment ref="F5" authorId="0">
      <text>
        <r>
          <rPr>
            <sz val="8"/>
            <color indexed="81"/>
            <rFont val="Tahoma"/>
            <family val="2"/>
          </rPr>
          <t>Enter details from Form 16. Round off to nearest Rupee. This is the value TDS to be included in item 16b</t>
        </r>
      </text>
    </comment>
    <comment ref="F6" authorId="0">
      <text>
        <r>
          <rPr>
            <sz val="8"/>
            <color indexed="81"/>
            <rFont val="Tahoma"/>
            <family val="2"/>
          </rPr>
          <t>Enter details from Form 16. Round off to nearest Rupee. This is the value TDS to be included in item 16b</t>
        </r>
      </text>
    </comment>
    <comment ref="C11" authorId="0">
      <text>
        <r>
          <rPr>
            <sz val="8"/>
            <color indexed="81"/>
            <rFont val="Tahoma"/>
            <family val="2"/>
          </rPr>
          <t>First four alphabets, next five digits, then alphabet(exactly 10 chars). Quote valid TAN to ensure credit for TDS</t>
        </r>
      </text>
    </comment>
    <comment ref="D11" authorId="0">
      <text>
        <r>
          <rPr>
            <sz val="8"/>
            <color indexed="81"/>
            <rFont val="Tahoma"/>
            <family val="2"/>
          </rPr>
          <t>Enter name of deductor</t>
        </r>
      </text>
    </comment>
    <comment ref="E11" authorId="1">
      <text>
        <r>
          <rPr>
            <b/>
            <sz val="8"/>
            <color indexed="81"/>
            <rFont val="Tahoma"/>
            <family val="2"/>
          </rPr>
          <t xml:space="preserve">In case the Unique TDS Certificate No is 6 digits, please prefix 2 zeros.Also, the Unique TDS No should be 8 characters </t>
        </r>
      </text>
    </comment>
    <comment ref="F11" authorId="1">
      <text>
        <r>
          <rPr>
            <b/>
            <sz val="8"/>
            <color indexed="81"/>
            <rFont val="Tahoma"/>
            <family val="2"/>
          </rPr>
          <t>Enter 2012 when TDS made during the financial year 2012-13 .</t>
        </r>
      </text>
    </comment>
    <comment ref="G11" authorId="0">
      <text>
        <r>
          <rPr>
            <sz val="8"/>
            <color indexed="81"/>
            <rFont val="Tahoma"/>
            <family val="2"/>
          </rPr>
          <t>Enter details from Form 16A. Round off to the nearest Rupee.</t>
        </r>
      </text>
    </comment>
    <comment ref="N11" authorId="0">
      <text>
        <r>
          <rPr>
            <sz val="8"/>
            <color indexed="81"/>
            <rFont val="Tahoma"/>
            <family val="2"/>
          </rPr>
          <t>Enter details from Form 16A. Usually this will be the same as tax deducted. This value cannot exceed tax deducted. Round off to nearest Rupee. This is the value TDS to be included in item 16b</t>
        </r>
      </text>
    </comment>
    <comment ref="C12" authorId="0">
      <text>
        <r>
          <rPr>
            <sz val="8"/>
            <color indexed="81"/>
            <rFont val="Tahoma"/>
            <family val="2"/>
          </rPr>
          <t>First four alphabets, next five digits, then alphabet(exactly 10 chars). Quote valid TAN to ensure credit for TDS</t>
        </r>
      </text>
    </comment>
    <comment ref="D12" authorId="0">
      <text>
        <r>
          <rPr>
            <sz val="8"/>
            <color indexed="81"/>
            <rFont val="Tahoma"/>
            <family val="2"/>
          </rPr>
          <t>Enter name of deductor</t>
        </r>
      </text>
    </comment>
    <comment ref="E12" authorId="1">
      <text>
        <r>
          <rPr>
            <b/>
            <sz val="8"/>
            <color indexed="81"/>
            <rFont val="Tahoma"/>
            <family val="2"/>
          </rPr>
          <t>In case the Unique TDS certificate No is 6 digits, please prefix 2 zero's.Also, the unique TDS no should be 8 characters alphanumeric)</t>
        </r>
      </text>
    </comment>
    <comment ref="F12" authorId="1">
      <text>
        <r>
          <rPr>
            <b/>
            <sz val="8"/>
            <color indexed="81"/>
            <rFont val="Tahoma"/>
            <family val="2"/>
          </rPr>
          <t>Enter 2012 when TDS made during the financial year 2012-13 .</t>
        </r>
      </text>
    </comment>
    <comment ref="G12" authorId="0">
      <text>
        <r>
          <rPr>
            <sz val="8"/>
            <color indexed="81"/>
            <rFont val="Tahoma"/>
            <family val="2"/>
          </rPr>
          <t>Enter details from Form 16A. Round off to the nearest Rupee.</t>
        </r>
      </text>
    </comment>
    <comment ref="N12" authorId="0">
      <text>
        <r>
          <rPr>
            <sz val="8"/>
            <color indexed="81"/>
            <rFont val="Tahoma"/>
            <family val="2"/>
          </rPr>
          <t>Enter details from Form 16A. Usually this will be the same as tax deducted. This value cannot exceed tax deducted. Round off to nearest Rupee. This is the value TDS to be included in item 16b</t>
        </r>
      </text>
    </comment>
    <comment ref="C13" authorId="0">
      <text>
        <r>
          <rPr>
            <sz val="8"/>
            <color indexed="81"/>
            <rFont val="Tahoma"/>
            <family val="2"/>
          </rPr>
          <t>First four alphabets, next five digits, then alphabet(exactly 10 chars). Quote valid TAN to ensure credit for TDS</t>
        </r>
      </text>
    </comment>
    <comment ref="D13" authorId="0">
      <text>
        <r>
          <rPr>
            <sz val="8"/>
            <color indexed="81"/>
            <rFont val="Tahoma"/>
            <family val="2"/>
          </rPr>
          <t>Enter name of deductor</t>
        </r>
      </text>
    </comment>
    <comment ref="E13" authorId="1">
      <text>
        <r>
          <rPr>
            <b/>
            <sz val="8"/>
            <color indexed="81"/>
            <rFont val="Tahoma"/>
            <family val="2"/>
          </rPr>
          <t>In case the Unique TDS certificate No is 6 digits, please prefix 2 zero's.Also, the unique TDS no should be 8 characters alphanumeric)</t>
        </r>
      </text>
    </comment>
    <comment ref="F13" authorId="1">
      <text>
        <r>
          <rPr>
            <b/>
            <sz val="8"/>
            <color indexed="81"/>
            <rFont val="Tahoma"/>
            <family val="2"/>
          </rPr>
          <t>Enter 2012 when TDS made during the financial year 2012-13 .</t>
        </r>
      </text>
    </comment>
    <comment ref="G13" authorId="0">
      <text>
        <r>
          <rPr>
            <sz val="8"/>
            <color indexed="81"/>
            <rFont val="Tahoma"/>
            <family val="2"/>
          </rPr>
          <t>Enter details from Form 16A. Round off to the nearest Rupee.</t>
        </r>
      </text>
    </comment>
    <comment ref="N13" authorId="0">
      <text>
        <r>
          <rPr>
            <sz val="8"/>
            <color indexed="81"/>
            <rFont val="Tahoma"/>
            <family val="2"/>
          </rPr>
          <t>Enter details from Form 16A. Usually this will be the same as tax deducted. This value cannot exceed tax deducted. Round off to nearest Rupee. This is the value TDS to be included in item 16b</t>
        </r>
      </text>
    </comment>
    <comment ref="C14" authorId="0">
      <text>
        <r>
          <rPr>
            <sz val="8"/>
            <color indexed="81"/>
            <rFont val="Tahoma"/>
            <family val="2"/>
          </rPr>
          <t>First four alphabets, next five digits, then alphabet(exactly 10 chars). Quote valid TAN to ensure credit for TDS</t>
        </r>
      </text>
    </comment>
    <comment ref="D14" authorId="0">
      <text>
        <r>
          <rPr>
            <sz val="8"/>
            <color indexed="81"/>
            <rFont val="Tahoma"/>
            <family val="2"/>
          </rPr>
          <t>Enter name of deductor</t>
        </r>
      </text>
    </comment>
    <comment ref="E14" authorId="1">
      <text>
        <r>
          <rPr>
            <b/>
            <sz val="8"/>
            <color indexed="81"/>
            <rFont val="Tahoma"/>
            <family val="2"/>
          </rPr>
          <t>In case the Unique TDS certificate No is 6 digits, please prefix 2 zero's.Also, the unique TDS no should be 8 characters alphanumeric)</t>
        </r>
      </text>
    </comment>
    <comment ref="F14" authorId="1">
      <text>
        <r>
          <rPr>
            <b/>
            <sz val="8"/>
            <color indexed="81"/>
            <rFont val="Tahoma"/>
            <family val="2"/>
          </rPr>
          <t>Enter 2012 when TDS made during the financial year 2012-13 .</t>
        </r>
      </text>
    </comment>
    <comment ref="G14" authorId="0">
      <text>
        <r>
          <rPr>
            <sz val="8"/>
            <color indexed="81"/>
            <rFont val="Tahoma"/>
            <family val="2"/>
          </rPr>
          <t>Enter details from Form 16A. Round off to the nearest Rupee.</t>
        </r>
      </text>
    </comment>
    <comment ref="N14" authorId="0">
      <text>
        <r>
          <rPr>
            <sz val="8"/>
            <color indexed="81"/>
            <rFont val="Tahoma"/>
            <family val="2"/>
          </rPr>
          <t>Enter details from Form 16A. Usually this will be the same as tax deducted. This value cannot exceed tax deducted. Round off to nearest Rupee. This is the value TDS to be included in item 16b</t>
        </r>
      </text>
    </comment>
    <comment ref="B38" authorId="0">
      <text>
        <r>
          <rPr>
            <sz val="8"/>
            <color indexed="81"/>
            <rFont val="Tahoma"/>
            <family val="2"/>
          </rPr>
          <t>Enter seven digit  code as per bank seal on counterfoil</t>
        </r>
      </text>
    </comment>
    <comment ref="C38" authorId="0">
      <text>
        <r>
          <rPr>
            <sz val="8"/>
            <color indexed="81"/>
            <rFont val="Tahoma"/>
            <family val="2"/>
          </rPr>
          <t>Enter date of credit into Govt Account  of tax payment in DD/MM/YYYY format. Date of Credit into Govt Account in Details of Advance Tax and Self Assessment Tax Payments should not be prior to 01/04/2012.</t>
        </r>
      </text>
    </comment>
    <comment ref="B39" authorId="0">
      <text>
        <r>
          <rPr>
            <sz val="8"/>
            <color indexed="81"/>
            <rFont val="Tahoma"/>
            <family val="2"/>
          </rPr>
          <t>Enter seven digit  code as per bank seal on counterfoil</t>
        </r>
      </text>
    </comment>
    <comment ref="C39" authorId="0">
      <text>
        <r>
          <rPr>
            <sz val="8"/>
            <color indexed="81"/>
            <rFont val="Tahoma"/>
            <family val="2"/>
          </rPr>
          <t>Enter date of credit into Govt Account  of tax payment in DD/MM/YYYY format. Date of Credit into Govt Account in Details of Advance Tax and Self Assessment Tax Payments should not be prior to 01/04/2012.</t>
        </r>
      </text>
    </comment>
    <comment ref="B40" authorId="0">
      <text>
        <r>
          <rPr>
            <sz val="8"/>
            <color indexed="81"/>
            <rFont val="Tahoma"/>
            <family val="2"/>
          </rPr>
          <t>Enter seven digit  code as per bank seal on counterfoil</t>
        </r>
      </text>
    </comment>
    <comment ref="C40" authorId="0">
      <text>
        <r>
          <rPr>
            <sz val="8"/>
            <color indexed="81"/>
            <rFont val="Tahoma"/>
            <family val="2"/>
          </rPr>
          <t>Enter date of credit into Govt Account  of tax payment in DD/MM/YYYY format. Date of Credit into Govt Account in Details of Advance Tax and Self Assessment Tax Payments should not be prior to 01/04/2012.</t>
        </r>
      </text>
    </comment>
    <comment ref="B41" authorId="0">
      <text>
        <r>
          <rPr>
            <sz val="8"/>
            <color indexed="81"/>
            <rFont val="Tahoma"/>
            <family val="2"/>
          </rPr>
          <t>Enter seven digit  code as per bank seal on counterfoil</t>
        </r>
      </text>
    </comment>
    <comment ref="C41" authorId="0">
      <text>
        <r>
          <rPr>
            <sz val="8"/>
            <color indexed="81"/>
            <rFont val="Tahoma"/>
            <family val="2"/>
          </rPr>
          <t>Enter date of credit into Govt Account  of tax payment in DD/MM/YYYY format. Date of Credit into Govt Account in Details of Advance Tax and Self Assessment Tax Payments should not be prior to 01/04/2012.</t>
        </r>
      </text>
    </comment>
    <comment ref="B42" authorId="0">
      <text>
        <r>
          <rPr>
            <sz val="8"/>
            <color indexed="81"/>
            <rFont val="Tahoma"/>
            <family val="2"/>
          </rPr>
          <t>Enter seven digit  code as per bank seal on counterfoil</t>
        </r>
      </text>
    </comment>
    <comment ref="C42" authorId="0">
      <text>
        <r>
          <rPr>
            <sz val="8"/>
            <color indexed="81"/>
            <rFont val="Tahoma"/>
            <family val="2"/>
          </rPr>
          <t>Enter date of credit into Govt Account  of tax payment in DD/MM/YYYY format. Date of Credit into Govt Account in Details of Advance Tax and Self Assessment Tax Payments should not be prior to 01/04/2012.</t>
        </r>
      </text>
    </comment>
    <comment ref="B43" authorId="0">
      <text>
        <r>
          <rPr>
            <sz val="8"/>
            <color indexed="81"/>
            <rFont val="Tahoma"/>
            <family val="2"/>
          </rPr>
          <t>Enter seven digit  code as per bank seal on counterfoil</t>
        </r>
      </text>
    </comment>
    <comment ref="C43" authorId="0">
      <text>
        <r>
          <rPr>
            <sz val="8"/>
            <color indexed="81"/>
            <rFont val="Tahoma"/>
            <family val="2"/>
          </rPr>
          <t>Enter date of credit into Govt Account  of tax payment in DD/MM/YYYY format. Date of Credit into Govt Account in Details of Advance Tax and Self Assessment Tax Payments should not be prior to 01/04/2012.</t>
        </r>
      </text>
    </comment>
  </commentList>
</comments>
</file>

<file path=xl/comments5.xml><?xml version="1.0" encoding="utf-8"?>
<comments xmlns="http://schemas.openxmlformats.org/spreadsheetml/2006/main">
  <authors>
    <author>JLIMS</author>
    <author>zankar</author>
  </authors>
  <commentList>
    <comment ref="J10" authorId="0">
      <text>
        <r>
          <rPr>
            <b/>
            <sz val="8"/>
            <color indexed="81"/>
            <rFont val="Tahoma"/>
            <family val="2"/>
          </rPr>
          <t>Select "Yes" in case of direct deposit</t>
        </r>
      </text>
    </comment>
    <comment ref="E12" authorId="1">
      <text>
        <r>
          <rPr>
            <sz val="8"/>
            <color indexed="81"/>
            <rFont val="Tahoma"/>
            <family val="2"/>
          </rPr>
          <t>For Example: For SBI Account The IFSC Code will be as SBIN0123456.</t>
        </r>
      </text>
    </comment>
    <comment ref="J12" authorId="1">
      <text>
        <r>
          <rPr>
            <sz val="8"/>
            <color indexed="81"/>
            <rFont val="Tahoma"/>
            <family val="2"/>
          </rPr>
          <t>Select appropriate nature of the account</t>
        </r>
      </text>
    </comment>
    <comment ref="E15" authorId="1">
      <text>
        <r>
          <rPr>
            <sz val="8"/>
            <color indexed="81"/>
            <rFont val="Tahoma"/>
            <family val="2"/>
          </rPr>
          <t>Cash deposits aggregating Rs 10 lakhs or more in a year</t>
        </r>
      </text>
    </comment>
    <comment ref="J15" authorId="1">
      <text>
        <r>
          <rPr>
            <sz val="8"/>
            <color indexed="81"/>
            <rFont val="Tahoma"/>
            <family val="2"/>
          </rPr>
          <t>Credit Card payments aggregating Rs 2 lakhs or more in a year</t>
        </r>
      </text>
    </comment>
    <comment ref="E16" authorId="1">
      <text>
        <r>
          <rPr>
            <sz val="8"/>
            <color indexed="81"/>
            <rFont val="Tahoma"/>
            <family val="2"/>
          </rPr>
          <t>Payments of Rs 2 lakhs or more for purchase of units of MF</t>
        </r>
      </text>
    </comment>
    <comment ref="J16" authorId="1">
      <text>
        <r>
          <rPr>
            <sz val="8"/>
            <color indexed="81"/>
            <rFont val="Tahoma"/>
            <family val="2"/>
          </rPr>
          <t>Payments of Rs 5 lakhs or more for acquiring bonds or debentures</t>
        </r>
      </text>
    </comment>
    <comment ref="E17" authorId="1">
      <text>
        <r>
          <rPr>
            <sz val="8"/>
            <color indexed="81"/>
            <rFont val="Tahoma"/>
            <family val="2"/>
          </rPr>
          <t>Payments of Rs 1 lakh or more for acquiring  shares of a company</t>
        </r>
      </text>
    </comment>
    <comment ref="J17" authorId="1">
      <text>
        <r>
          <rPr>
            <sz val="8"/>
            <color indexed="81"/>
            <rFont val="Tahoma"/>
            <family val="2"/>
          </rPr>
          <t>Purchase of immovable property valued at Rs 30 lakhs or more</t>
        </r>
      </text>
    </comment>
    <comment ref="E18" authorId="1">
      <text>
        <r>
          <rPr>
            <sz val="8"/>
            <color indexed="81"/>
            <rFont val="Tahoma"/>
            <family val="2"/>
          </rPr>
          <t>Sale of immovable property valued at Rs 30 lakhs or more</t>
        </r>
      </text>
    </comment>
    <comment ref="J18" authorId="1">
      <text>
        <r>
          <rPr>
            <sz val="8"/>
            <color indexed="81"/>
            <rFont val="Tahoma"/>
            <family val="2"/>
          </rPr>
          <t>Payments of Rs 5 lakhs or more for investments in RBI bonds in a year</t>
        </r>
      </text>
    </comment>
    <comment ref="J29" authorId="1">
      <text>
        <r>
          <rPr>
            <sz val="8"/>
            <color indexed="81"/>
            <rFont val="Tahoma"/>
            <family val="2"/>
          </rPr>
          <t>Enter fathers name</t>
        </r>
      </text>
    </comment>
    <comment ref="C32" authorId="1">
      <text>
        <r>
          <rPr>
            <sz val="8"/>
            <color indexed="81"/>
            <rFont val="Tahoma"/>
            <family val="2"/>
          </rPr>
          <t>Enter city</t>
        </r>
      </text>
    </comment>
    <comment ref="H32" authorId="1">
      <text>
        <r>
          <rPr>
            <sz val="8"/>
            <color indexed="81"/>
            <rFont val="Tahoma"/>
            <family val="2"/>
          </rPr>
          <t>Enter date in DD/MM/YYYY. Date should be on after 01/04/2013. Do not enter future date.</t>
        </r>
      </text>
    </comment>
    <comment ref="A36" authorId="1">
      <text>
        <r>
          <rPr>
            <sz val="8"/>
            <color indexed="81"/>
            <rFont val="Tahoma"/>
            <family val="2"/>
          </rPr>
          <t>Enter ID of TRP</t>
        </r>
      </text>
    </comment>
    <comment ref="F36" authorId="1">
      <text>
        <r>
          <rPr>
            <sz val="8"/>
            <color indexed="81"/>
            <rFont val="Tahoma"/>
            <family val="2"/>
          </rPr>
          <t>Enter name of TRP</t>
        </r>
      </text>
    </comment>
    <comment ref="J38" authorId="1">
      <text>
        <r>
          <rPr>
            <sz val="8"/>
            <color indexed="81"/>
            <rFont val="Tahoma"/>
            <family val="2"/>
          </rPr>
          <t>Enter TRP reimbursement amount</t>
        </r>
      </text>
    </comment>
  </commentList>
</comments>
</file>

<file path=xl/comments6.xml><?xml version="1.0" encoding="utf-8"?>
<comments xmlns="http://schemas.openxmlformats.org/spreadsheetml/2006/main">
  <authors>
    <author>vk</author>
  </authors>
  <commentList>
    <comment ref="B28" authorId="0">
      <text>
        <r>
          <rPr>
            <b/>
            <sz val="8"/>
            <color indexed="81"/>
            <rFont val="Times New Roman"/>
            <family val="1"/>
          </rPr>
          <t xml:space="preserve">Fill up : </t>
        </r>
        <r>
          <rPr>
            <sz val="8"/>
            <color indexed="81"/>
            <rFont val="Times New Roman"/>
            <family val="1"/>
          </rPr>
          <t>Navigate to each schedule applicable Fill up data (Refer to sheet specific Help for more details)</t>
        </r>
      </text>
    </comment>
    <comment ref="B29" authorId="0">
      <text>
        <r>
          <rPr>
            <b/>
            <sz val="8"/>
            <color indexed="81"/>
            <rFont val="Times New Roman"/>
            <family val="1"/>
          </rPr>
          <t xml:space="preserve">Validate each sheet : </t>
        </r>
        <r>
          <rPr>
            <sz val="8"/>
            <color indexed="81"/>
            <rFont val="Times New Roman"/>
            <family val="1"/>
          </rPr>
          <t>Click on the Validate Button on each filled sheet to ensure that the sheet has been properly filled. Also ensure that you have also followed instructions per sheet</t>
        </r>
      </text>
    </comment>
    <comment ref="B30" authorId="0">
      <text>
        <r>
          <rPr>
            <b/>
            <sz val="8"/>
            <color indexed="81"/>
            <rFont val="Tahoma"/>
            <family val="2"/>
          </rPr>
          <t xml:space="preserve">Generate XML : </t>
        </r>
        <r>
          <rPr>
            <sz val="8"/>
            <color indexed="81"/>
            <rFont val="Tahoma"/>
            <family val="2"/>
          </rPr>
          <t>After all required schedules have been filled and validated, click on Generate XML which will recheck all sheets and show a final validation sheet</t>
        </r>
      </text>
    </comment>
    <comment ref="B31" authorId="0">
      <text>
        <r>
          <rPr>
            <b/>
            <sz val="8"/>
            <color indexed="81"/>
            <rFont val="Times New Roman"/>
            <family val="1"/>
          </rPr>
          <t xml:space="preserve">Validate Summary : </t>
        </r>
        <r>
          <rPr>
            <sz val="8"/>
            <color indexed="81"/>
            <rFont val="Times New Roman"/>
            <family val="1"/>
          </rPr>
          <t>After clicking on Generate XML. You will be taken to a Verification / Validation sheet where you can check that all entries made are reflected before clicking on Save XML</t>
        </r>
      </text>
    </comment>
    <comment ref="B32" authorId="0">
      <text>
        <r>
          <rPr>
            <b/>
            <sz val="8"/>
            <color indexed="81"/>
            <rFont val="Times New Roman"/>
            <family val="1"/>
          </rPr>
          <t xml:space="preserve">Save XML </t>
        </r>
        <r>
          <rPr>
            <sz val="8"/>
            <color indexed="81"/>
            <rFont val="Times New Roman"/>
            <family val="1"/>
          </rPr>
          <t>to generate the  XML for uploading to efiling site.</t>
        </r>
      </text>
    </comment>
  </commentList>
</comments>
</file>

<file path=xl/sharedStrings.xml><?xml version="1.0" encoding="utf-8"?>
<sst xmlns="http://schemas.openxmlformats.org/spreadsheetml/2006/main" count="1663" uniqueCount="1384">
  <si>
    <t>(ii) Compute taxable income of the current year (i.e., the previous year) under each head of income separately in the</t>
  </si>
  <si>
    <t>I-Individual</t>
  </si>
  <si>
    <t>H-HUF</t>
  </si>
  <si>
    <t>NA</t>
  </si>
  <si>
    <t>Schedules which have been structured so as to help you in making these computations as per provisions of the</t>
  </si>
  <si>
    <t>Income-tax Act. These statutory provisions decide what is to be included in your income, what you can claim</t>
  </si>
  <si>
    <t>as an expenditure or allowance and how much, and also what you cannot claim as an expenditure/allowance.</t>
  </si>
  <si>
    <t>(iii) Set off current year’s headwise loss(es) against current year’s headwise income(s) as per procedures prescribed</t>
  </si>
  <si>
    <t>by the law. A separate Schedule is provided for such set-off.</t>
  </si>
  <si>
    <t>(iv) Set off, as per procedures prescribed by the law, loss(es) and/or allowance(s) of earlier assessment year(s)</t>
  </si>
  <si>
    <t>brought forward. Also, compute loss(es) and/or allowance(s) that could be set off in future and is (are) to be</t>
  </si>
  <si>
    <t>carried forward as per procedures prescribed by the law. Separate Schedules are provided for this.</t>
  </si>
  <si>
    <t>(v) Aggregate the headwise end-results as available after (iv) above; this will give you “gross total income”.</t>
  </si>
  <si>
    <t>Receipt No/ Date</t>
  </si>
  <si>
    <t>1. Download and unzip the relevant ITR excel return preparation utility for the selected Assessment Year.</t>
  </si>
  <si>
    <t xml:space="preserve">2. Fill up the ITR Excel form as per the tax payers details. </t>
  </si>
  <si>
    <t>3. Validate the XML from the form by clicking on the "Validate" button.</t>
  </si>
  <si>
    <t xml:space="preserve">4. Correct the reported errors and click on "XML Generate" to generate the XML file. </t>
  </si>
  <si>
    <t>5. Upload the XML file generated to the eFiling site using appropriate login/password.</t>
  </si>
  <si>
    <t>The appropriate excel utility as per the assessment year and applicable form, 
for which the return is to be prepared should be downloaded from the website :</t>
  </si>
  <si>
    <t>The tax payer need not use any other software for preparing their returns. 
The excel utility, once filled up as per the instructions, has the facility to 
generate an XML for uploading to the eFiling website.</t>
  </si>
  <si>
    <r>
      <t xml:space="preserve">Taxes Paid </t>
    </r>
    <r>
      <rPr>
        <b/>
        <i/>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</si>
  <si>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C) No separate file validation utility is required as there are two checks for validating each XML. One check is within the excel utility itself and there is an additional validation check done while the XML is being uploaded to the efiling website.</t>
  </si>
  <si>
    <t>A) Preparing for filing IncomeTax Return :</t>
  </si>
  <si>
    <t>B) 5 Steps to upload the  ITR.</t>
  </si>
  <si>
    <t>D) How to use this Excel Utility</t>
  </si>
  <si>
    <t>a)    Data entry cells for mandatory fields which are required to be compulsorily entered by the user. These have a red font and a green background color. Certain fields are mandatory under specific conditions. Ex : MICR Details are only required for direct deposit of refunds to your bank account.</t>
  </si>
  <si>
    <t>b) Data entry cells for optional fields have a black font and a green background color.</t>
  </si>
  <si>
    <t xml:space="preserve">c) Fields whose values are automatically calculated / filled by the utility  have a blue font for the labels and a white background color. </t>
  </si>
  <si>
    <r>
      <t xml:space="preserve">Navigation : Refer to the navigation buttons shown on the left for Next, Previous. </t>
    </r>
    <r>
      <rPr>
        <sz val="10"/>
        <rFont val="Times New Roman"/>
        <family val="1"/>
      </rPr>
      <t xml:space="preserve">The user can navigate between the sheets by either clicking on next or previous buttons as required. </t>
    </r>
    <r>
      <rPr>
        <b/>
        <sz val="10"/>
        <rFont val="Times New Roman"/>
        <family val="1"/>
      </rPr>
      <t xml:space="preserve"> </t>
    </r>
  </si>
  <si>
    <t>Moving through the cells : Use Tab Keys to move from one dataentry cell to another on the selected sheet.</t>
  </si>
  <si>
    <r>
      <t xml:space="preserve">Adding more rows : </t>
    </r>
    <r>
      <rPr>
        <sz val="10"/>
        <rFont val="Times New Roman"/>
        <family val="1"/>
      </rPr>
      <t>Schedules such as TDS, Bank Payments allow users to enter data in tabular format.</t>
    </r>
  </si>
  <si>
    <t>Using provided buttons below these tables, the taxpayer can add as many rows as required in these tables.</t>
  </si>
  <si>
    <r>
      <t>Warning :</t>
    </r>
    <r>
      <rPr>
        <sz val="10"/>
        <rFont val="Times New Roman"/>
        <family val="1"/>
      </rPr>
      <t xml:space="preserve"> Rows once added, are not required and should not be deleted, even if they are blank. 
The utility does not generate XML for rows left blank.</t>
    </r>
  </si>
  <si>
    <t>[Pl see Form Instruction]</t>
  </si>
  <si>
    <t>(vi) From gross total income, subtract, as per procedures prescribed by the law, “deductions” mentioned in Chapter</t>
  </si>
  <si>
    <t>VIA of the Income-tax Act. The result will be the total income. Besides, calculate agricultural income for rate</t>
  </si>
  <si>
    <t>purposes.</t>
  </si>
  <si>
    <t>13 - u/s 142(1)</t>
  </si>
  <si>
    <t>14 - u/s 148</t>
  </si>
  <si>
    <t>(2) Computation of income-tax, surcharge, education cess and interest in respect of income chargeable to tax</t>
  </si>
  <si>
    <t>(a) Compute income-tax payable on the total income. Special rates of tax are applicable to some specified items. Include</t>
  </si>
  <si>
    <t>agricultural income, as prescribed, for rate purposes, in the tax computation procedure..</t>
  </si>
  <si>
    <t>(b) In case, the tax liability computed as above is less than 10% of book profit, the company is required to pay minimum</t>
  </si>
  <si>
    <t>alternate tax ( MAT) under section 115JB at the rate of 10% of the profit. The excess tax so paid is allowable to be</t>
  </si>
  <si>
    <t>carried forward for credit in the year in which tax liability under the normal provisions of the Act is more than MAT</t>
  </si>
  <si>
    <t>liability. Such carry-forward is allowable upto 5 years</t>
  </si>
  <si>
    <t>(c) Add surcharge at the rate of 10% of the tax liability computed as explained in (a) and (b) above. However, the rate of</t>
  </si>
  <si>
    <t>surcharge is two and half per-cent in case of a company, not being a domestic company</t>
  </si>
  <si>
    <t>(c) Add Education Cess at the rate of 2% on the tax payable plus surcharge.</t>
  </si>
  <si>
    <t>(d) Claim relief(s) as prescribed by the law, for double taxation and calculate balance tax and surcharge payable.</t>
  </si>
  <si>
    <t>(e) Add interest payable as prescribed by the law to reach total tax, surcharge and interest payable.</t>
  </si>
  <si>
    <t>(f) Deduct the amount of prepaid taxes, if any, like “tax deducted at source”, “advance-tax” and “self-assessment-tax”. The</t>
  </si>
  <si>
    <t>result will be the tax payable (or refundable).</t>
  </si>
  <si>
    <t>(3) Computation of fringe benefits and income-tax, surcharge, education cess and interest in respect of fringe benefits chargeable to tax</t>
  </si>
  <si>
    <t>Tax and interest Calculator</t>
  </si>
  <si>
    <t>Beta Version 1.0</t>
  </si>
  <si>
    <t>A)</t>
  </si>
  <si>
    <t>This calculator takes inputs from this filled up utility. This calculator requires taxpayer to complete all schedules of the utility, including Tax Payment , TDS/TCS , sCH SI, Sch EI,etc  before using the calculator. The calculator also utilises the values of Gender, Date Of Birth, Assessment Year, Residential status, Sstatus of taxpayer (Individual / HUF etc) for the purpose of this computaton
.</t>
  </si>
  <si>
    <t>B)</t>
  </si>
  <si>
    <t>The Green cells below are as per the value entered in Part B TI/ TTI and the yellow cells adjacent are as per the inbuilt computation.</t>
  </si>
  <si>
    <t>C)</t>
  </si>
  <si>
    <t>Click on Recalculate in case any of the input values in the return are being changed, to view the recomputated tax and interest values.If any calculation differs from your expected values, please verify the input values in all relevant schedules very carefully, and then press on Recalculate in case you have made any changes.</t>
  </si>
  <si>
    <t>D)</t>
  </si>
  <si>
    <t>After verifying and validating all input values, and generating the final computation, the sytem calculated values of each cell can be transferred to Part B TTI using the "Accept Calculated Values for Tax" button</t>
  </si>
  <si>
    <t>E)</t>
  </si>
  <si>
    <t>Please note that to calculate interest , you need to complete acceptance of final computation of tax, surcharge and Education cess by clicking on "Accept Calculated values of Tax"</t>
  </si>
  <si>
    <t>S No</t>
  </si>
  <si>
    <t>Calculator for Tax, Surcharge</t>
  </si>
  <si>
    <t>As entered</t>
  </si>
  <si>
    <t>As Calculated</t>
  </si>
  <si>
    <t xml:space="preserve">Total income after set off of losses and deductions </t>
  </si>
  <si>
    <t>Deduct : Special Rate incomes from above for arriving at Aggregate Income to be used in computation of Tax at Normal Rate</t>
  </si>
  <si>
    <t>Add : Net Agricultural Income for Rate</t>
  </si>
  <si>
    <t>Aggregate Income to be used for computation of Tax at Normal Rate</t>
  </si>
  <si>
    <t>Tax at Normal Rates</t>
  </si>
  <si>
    <t>Rebate on Agricultural Income</t>
  </si>
  <si>
    <t>Special Income as per Sch SI</t>
  </si>
  <si>
    <t>Tax at Special Rate</t>
  </si>
  <si>
    <t>Tax payable on Total Income</t>
  </si>
  <si>
    <t>Surcharge</t>
  </si>
  <si>
    <t>Marginal Relief</t>
  </si>
  <si>
    <t>Net Surcharge</t>
  </si>
  <si>
    <t>Education Cess</t>
  </si>
  <si>
    <t xml:space="preserve">Gross Tax Liability </t>
  </si>
  <si>
    <t>Calculator for Interest</t>
  </si>
  <si>
    <t>Date of filing</t>
  </si>
  <si>
    <t>(dd/mm/yyyy)</t>
  </si>
  <si>
    <t>Amount</t>
  </si>
  <si>
    <t>Full Name</t>
  </si>
  <si>
    <t>Son/daughter of</t>
  </si>
  <si>
    <t>Enter date upto which interest is to be calculated</t>
  </si>
  <si>
    <t>Enter due date for filing of returns</t>
  </si>
  <si>
    <t>Interest u/s 234A</t>
  </si>
  <si>
    <t>Interest u/s 234B</t>
  </si>
  <si>
    <t>Interest u/s 234C</t>
  </si>
  <si>
    <t>TXN</t>
  </si>
  <si>
    <t>TH</t>
  </si>
  <si>
    <t>TH+N.A.I.</t>
  </si>
  <si>
    <t>REBATE</t>
  </si>
  <si>
    <t>prtx</t>
  </si>
  <si>
    <t>mr</t>
  </si>
  <si>
    <t>netsur</t>
  </si>
  <si>
    <t>ed</t>
  </si>
  <si>
    <t>att</t>
  </si>
  <si>
    <t>(a) Chapter XII-H of the Act relates to income-tax on fringe benefits paid or deemed to have been paid by an employer to his</t>
  </si>
  <si>
    <t>employees. .</t>
  </si>
  <si>
    <t>(b) Section 115WB provides the list of fringe benefits provided or deemed to have been provided by an employer to his</t>
  </si>
  <si>
    <t>employees which are chargeable to tax. Section 115WC provides as to how to compute the value of the fringe benefits</t>
  </si>
  <si>
    <t>provided or deemed to have been provided.</t>
  </si>
  <si>
    <t>(c) Additional income-tax (fringe benefit tax) is required to be paid by every specified employer at the rate of thirty per cent</t>
  </si>
  <si>
    <t>on the value of such fringe benefits. Surcharge and Education Cess at specified rates are also to be paid on fringe benefit tax</t>
  </si>
  <si>
    <t>(FBT). FBT is payable by an employer even if no income-tax is payable by him on his total income.</t>
  </si>
  <si>
    <t>(d) Specified employer means a company, firm, an association of persons or a body of individuals (whether incorporated or</t>
  </si>
  <si>
    <t>not), a local authority and every artificial juridical person. However any person eligible for exemption under section</t>
  </si>
  <si>
    <t>Net Agricultural Income (Enter only if greater than Rs. 5,000)</t>
  </si>
  <si>
    <t>Rebate in respect of Net Agricultural Income</t>
  </si>
  <si>
    <t>9b</t>
  </si>
  <si>
    <t>Interest payable u/s 234 A</t>
  </si>
  <si>
    <t>Interest payable u/s 234 B</t>
  </si>
  <si>
    <t>Interest payable u/s 234 C</t>
  </si>
  <si>
    <t>Seal and Signature of Receiving Official</t>
  </si>
  <si>
    <t>(Please see rule 12 of the Income-tax Rules,1962) (Also see attached instructions)</t>
  </si>
  <si>
    <t xml:space="preserve">Tax payable on Total Income </t>
  </si>
  <si>
    <t>(ii) The losses under the head “house property”, ‘profit and gains of business or profession” short term capital loss</t>
  </si>
  <si>
    <t>and long term capital loss, losses from other sources (other than losses from race horses) are allowed to be</t>
  </si>
  <si>
    <t>carried forward for 8 years. However, loss from owning and maintaining race horses can be carried forward only</t>
  </si>
  <si>
    <t>for 4 assessment years.</t>
  </si>
  <si>
    <t>10A</t>
  </si>
  <si>
    <t>Schedule- 10A,-</t>
  </si>
  <si>
    <t>(i) If there are more than one undertaking entitled for deduction under this section, please enter the details of</t>
  </si>
  <si>
    <t>deduction for each undertaking separately.</t>
  </si>
  <si>
    <t>(ii) The amount of deduction under this section for an undertaking shall be as per item 17 of Form No.56F being the</t>
  </si>
  <si>
    <t>report of audit under section 10A.</t>
  </si>
  <si>
    <t>(l) Schedule-10AA,-</t>
  </si>
  <si>
    <t>If there are more than one undertaking entitled for deduction under this section, please enter the details of</t>
  </si>
  <si>
    <t>Schedule-10B,-</t>
  </si>
  <si>
    <t>(ii) The amount of deduction under this section for an undertaking shall be as per item 17 of Form No.56G being the</t>
  </si>
  <si>
    <t>report of audit under section 10B.</t>
  </si>
  <si>
    <t>Schedule- 10BA,-</t>
  </si>
  <si>
    <t>(ii) The amount of deduction under this section for an undertaking shall be as per item 15 of Form No.56H being the</t>
  </si>
  <si>
    <t>report of audit under section 10BA.</t>
  </si>
  <si>
    <t>(i) In this Schedule, the details of donation given by you which are entitled for deduction under section 80G have to</t>
  </si>
  <si>
    <t>be filled.</t>
  </si>
  <si>
    <t>(ii) In Part-A of this Schedule, the details of donations which are entitled for 100% deduction are to be filled in.</t>
  </si>
  <si>
    <t>Section 80G(1)(i) read with section 80G(2) contains the list of funds/ institutions donations to which are eligible</t>
  </si>
  <si>
    <t>for 100% deduction in hands of the donar.</t>
  </si>
  <si>
    <t>(iii) In Pat-B of this Schedule, the details of donations which are entitled for 50% deduction are to be filled in where</t>
  </si>
  <si>
    <t>such donations have been given to the funds/ institutions which are not required to be approved by an authority</t>
  </si>
  <si>
    <t>for this purpose. Section 80G(1)(i) read with section 80G(2) also contains the list of such funds/ institutions.</t>
  </si>
  <si>
    <t>(iv) In Part-C of this Schedule, the details of donations to the funds/ institutions which are approved by the</t>
  </si>
  <si>
    <t>Commissioner of Income-tax for this purpose.</t>
  </si>
  <si>
    <t>(v) It may kindly be noted that where the aggregate donations referred to in Part-C and donations referred to in subclauses</t>
  </si>
  <si>
    <t>(v), (vi), (via) and (vii) of clause (a) and in clauses (b) and (c)of section 80G(2) exceeds 10% of total</t>
  </si>
  <si>
    <t>income (before deduction under other provisions of Chapter VI-A), than the excess amount shall be ignored for</t>
  </si>
  <si>
    <t>purpose of computing deduction under section 80G</t>
  </si>
  <si>
    <t>80_</t>
  </si>
  <si>
    <t>Schedule- 80IA, Schedule- 80IB and Schedule- 80IC:</t>
  </si>
  <si>
    <t>(i) If there are more than one undertaking entitled for deduction under any of these sections, please enter the details</t>
  </si>
  <si>
    <t>of deduction in relevant schedule for each undertaking separately.</t>
  </si>
  <si>
    <t>(ii) The amount of deduction for an undertaking shall be as per item 30 of Form No.10CCB being the report of audit</t>
  </si>
  <si>
    <t>under sections 80-IA/ 80-IB/ 80-IC.</t>
  </si>
  <si>
    <t>Schedule-VIA,-</t>
  </si>
  <si>
    <t>(i) The total of the deductions allowable is limited to the amount of gross total income. For details of deductions</t>
  </si>
  <si>
    <t>allowable, the provisions of the Chapter VI-A may kindly be referred to.</t>
  </si>
  <si>
    <t>(ii) For deductions under sections 80-IA, 80-IB, 80-IC, the amount as shown in Schedules 80-IA, 80-IB and 80-IC</t>
  </si>
  <si>
    <t>(iii) Details of other deductions which are available are as under:-</t>
  </si>
  <si>
    <t>(A) Section 80G (Deduction in respect of donations to certain funds, charitable institutions, etc.)</t>
  </si>
  <si>
    <t>(B) Section 80GGA (Deduction in respect of certain donations for scientific research or rural development)</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</si>
  <si>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</si>
  <si>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on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</si>
  <si>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t>80 CCD (Employers Contribution)</t>
  </si>
  <si>
    <t>80 CCD (Employees / Self Employed Contribution)</t>
  </si>
  <si>
    <t>c(ii)</t>
  </si>
  <si>
    <t>c(i)</t>
  </si>
  <si>
    <t>10(23C) or registered under section 12AA or a political party registered under section 29A of the Representation of the</t>
  </si>
  <si>
    <t>People Act,1951 is not chargeable to fringe benefits tax.</t>
  </si>
  <si>
    <t>(e) The Central Board of Direct Taxes had issued an exhaustive Circular No.8 / 2005 dated 29.8.2005 explaining the</t>
  </si>
  <si>
    <t>provisions relating to fringe benefit tax. In case of any doubt, the assessees may refer to the said circular.</t>
  </si>
  <si>
    <t>(4) Obligation to file return of income</t>
  </si>
  <si>
    <t>(a) Every company shall furnish the return of income whether it has income or loss during the year.</t>
  </si>
  <si>
    <t>(b) The losses, if any, (item-14 of Part B-TI of this Form) shall not be allowed to be carried forward unless the return</t>
  </si>
  <si>
    <t>has been filed on or before the due date.</t>
  </si>
  <si>
    <t>(c) The deduction under sections 10A, 10B, 80-IA, 80-IAB, 80-IB and 80-IC shall not be allowed unless the return has</t>
  </si>
  <si>
    <t>been filed on or before the due date.</t>
  </si>
  <si>
    <t>C</t>
  </si>
  <si>
    <t>11. SCHEME OF THE FORM</t>
  </si>
  <si>
    <t>The Scheme of this form follows the scheme of the law as outlined above in its basic form. The Form has been divided into three parts. It also</t>
  </si>
  <si>
    <t>has thirty five schedules. The details of these parts and the schedules are as under:-</t>
  </si>
  <si>
    <t>(i) Part-A has five sub-divisions as under-</t>
  </si>
  <si>
    <t>(a) Part A-GEN mainly seeks general information requiring identificatory and other data;</t>
  </si>
  <si>
    <t>(b) Part A-BS seeks the balance sheet as on 31st March,2007;</t>
  </si>
  <si>
    <t>(c) Part A-P&amp;L seeks information regarding the Profit and loss account for the financial year 2006-07;</t>
  </si>
  <si>
    <t>(d) Part A-OI seeks other information. It is optional in a case not liable for audit under section 44AB</t>
  </si>
  <si>
    <t>(e) Part A-QD seeks information regarding quantitative details of the principal item of goods traded. It is optional in a case not</t>
  </si>
  <si>
    <t>liable for audit under section 44AB.</t>
  </si>
  <si>
    <t>(ii) The second part, i.e, Part-B is regarding an outline of the total income and tax computation in respect of income chargeable to tax..</t>
  </si>
  <si>
    <t>(iii) After Part B, there is –</t>
  </si>
  <si>
    <t>(a) a space for giving details of the transmission of the data of the form if the form has been furnished in accordance with the</t>
  </si>
  <si>
    <t>manner mentioned at instruction No.5(iii).</t>
  </si>
  <si>
    <t>(b) a space for a statutory verification., .</t>
  </si>
  <si>
    <t>(iv) Part-C is regarding an outline of the value of fringe benefits and tax computation thereon</t>
  </si>
  <si>
    <t>(v) There are 35 schedules details of which are as under-</t>
  </si>
  <si>
    <t>(a) Schedule BA: Details of Bank account</t>
  </si>
  <si>
    <t>(b) Schedule-HP: Computation of income under the head Income from House Property</t>
  </si>
  <si>
    <t>(c) Schedule-BP: Computation of income under the head “profit and gains from business or profession”</t>
  </si>
  <si>
    <t>(d) Schedule-DPM: Computation of depreciation on plant and machinery under the Income-tax Act</t>
  </si>
  <si>
    <t>(e) Schedule DOA: Computation of depreciation on other assets under the Income-tax Act</t>
  </si>
  <si>
    <t>(f) Schedule DEP: Summary of depreciation on all the assets under the Income-tax Act</t>
  </si>
  <si>
    <t>(g) Schedule DCG: Computation of deemed capital gains on sale of depreciable assets</t>
  </si>
  <si>
    <t>(h) Schedule ESR: Deduction under section 35 (expenditure on scientific research)</t>
  </si>
  <si>
    <t>(i) Schedule-CG: Computation of income under the head Capital gains.</t>
  </si>
  <si>
    <t>(j) Schedule-OS: Computation of income under the head Income from other sources.</t>
  </si>
  <si>
    <t>(k) Schedule-CYLA: Statement of income after set off of current year’s losses</t>
  </si>
  <si>
    <t>(l) Schedule-BFLA: Statement of income after set off of unabsorbed loss brought forward from earlier years.</t>
  </si>
  <si>
    <t>(m) Schedule- CFL: Statement of losses to be carried forward to future years.</t>
  </si>
  <si>
    <t>(n) Schedule- 10A: Computation of deduction under section 10A</t>
  </si>
  <si>
    <t>(o) Schedule- 10AA: Computation of deduction under section 10AA</t>
  </si>
  <si>
    <t>(p) Schedule- 10B: Computation of deduction under section 10B</t>
  </si>
  <si>
    <t>(q) Schedule- 10BA: Computation of deduction under section 10BA</t>
  </si>
  <si>
    <t>Profits and gains of life insurance business</t>
  </si>
  <si>
    <t>115B</t>
  </si>
  <si>
    <t>5BB</t>
  </si>
  <si>
    <t>Winnings from lotteries, crosswords puzzles, races including horse races, card games and other games of any sort or gambling or betting of any form or nature whatsoever</t>
  </si>
  <si>
    <t>115BB</t>
  </si>
  <si>
    <t>5BBA</t>
  </si>
  <si>
    <t>Tax on non-residents sportsmen or sports associations</t>
  </si>
  <si>
    <t>115BBA</t>
  </si>
  <si>
    <t>5BBB</t>
  </si>
  <si>
    <t>Tax on income from units of an open – ended equity oriented fund of the Unit Trust of India or of Mutual Funds</t>
  </si>
  <si>
    <t>115BBB</t>
  </si>
  <si>
    <t>5BBC</t>
  </si>
  <si>
    <t>Anonymous donations</t>
  </si>
  <si>
    <t>115BBC</t>
  </si>
  <si>
    <t>5Ea</t>
  </si>
  <si>
    <t>Investment income</t>
  </si>
  <si>
    <t>115E(a)</t>
  </si>
  <si>
    <t>5Eb</t>
  </si>
  <si>
    <t>Income by way of long term capital gains</t>
  </si>
  <si>
    <t>115E(b)</t>
  </si>
  <si>
    <t>EI / MAT</t>
  </si>
  <si>
    <t>(Click +  to add more rows to 23) TDS on Salary above. Do not delete blank rows. )</t>
  </si>
  <si>
    <t>(Click  + to add more rows ) TDS other than Salary above. Do not delete blank rows. )</t>
  </si>
  <si>
    <t>(Click '+' to add more rows ) Tax Payments. Do not delete blank rows. )</t>
  </si>
  <si>
    <t>Schedule-EI,- Furnish the details of income like agriculture income, interest, dividend, etc. which is exempt from tax.</t>
  </si>
  <si>
    <t>Schedule – MAT: Compute the book profit under section 115JB. The tax liability under said section shall be 10 per cent of</t>
  </si>
  <si>
    <t>the book profit so computed. The computation should be based on profit and loss account laid at annual general meeting in</t>
  </si>
  <si>
    <t>accordance with the provisions of section 210 of the Companies Act,1956. Further, the computation in this Schedule be</t>
  </si>
  <si>
    <t>based on Form 29B. However, Form 29B is not to be attached with the return.</t>
  </si>
  <si>
    <t>Schedule MATC: Credit for MAT paid in assessment year 2006-2007, in excess of the normal tax liability, is allowed to be</t>
  </si>
  <si>
    <t>set off against the normal tax liability of assessment year 2007-2008. However, the credit is restricted to the extent the</t>
  </si>
  <si>
    <t>12-AfterDueDt 139(4)</t>
  </si>
  <si>
    <t xml:space="preserve">80 G </t>
  </si>
  <si>
    <t>Unique TDS Certificate No.</t>
  </si>
  <si>
    <t>(6)</t>
  </si>
  <si>
    <t>(7)</t>
  </si>
  <si>
    <t>Schedule 80G</t>
  </si>
  <si>
    <t>Details of donations entitled for deduction under section 80G</t>
  </si>
  <si>
    <t>Name of donee</t>
  </si>
  <si>
    <t>PinCode</t>
  </si>
  <si>
    <t>Amount of donation</t>
  </si>
  <si>
    <t>PAN of Donee</t>
  </si>
  <si>
    <t>Eligible Amount of Donation</t>
  </si>
  <si>
    <t>Donations entitled for 50% deduction without qualifying limit</t>
  </si>
  <si>
    <t>Donations entitled for 100% deduction subject to qualifying limit</t>
  </si>
  <si>
    <t>D</t>
  </si>
  <si>
    <t>Donations entitled for 50% deduction subject to qualifying limit</t>
  </si>
  <si>
    <t>Total  80GA</t>
  </si>
  <si>
    <t>Total  80GB :</t>
  </si>
  <si>
    <t xml:space="preserve">Total  80GC : </t>
  </si>
  <si>
    <t>Total  80GD</t>
  </si>
  <si>
    <t>E</t>
  </si>
  <si>
    <t>Calculated Amount</t>
  </si>
  <si>
    <t>normal tax liability for assessment year 2007-2008 exceeds the MAT liability for that year.</t>
  </si>
  <si>
    <t>FRINGE_BENEFIT_INFO</t>
  </si>
  <si>
    <t>Schedule-FBI: The information in this Schedule shall enable computation of the value of fringe benefits in a case where the</t>
  </si>
  <si>
    <t>assessee is having business operation outside India also. Please note that even if there were no employees or business</t>
  </si>
  <si>
    <t>operation outside India, the details of total number of employees based in India have to be filled in row 3a of this Schedule.</t>
  </si>
  <si>
    <t>FRINGE_BENEFITS</t>
  </si>
  <si>
    <t>Schedule-FB:</t>
  </si>
  <si>
    <t>(i) This Schedule has been structured so as to compute the value of fringe benefits in a Tabular form.</t>
  </si>
  <si>
    <t>(ii) In column i, the nature of fringe benefits as provided in section 115WB in relation to which value of</t>
  </si>
  <si>
    <t>fringe benefits under section 115WC is to be computed has been provided.</t>
  </si>
  <si>
    <t>(iii) (a) In column ii, the amount/ value of items mentioned in column i have to be filled in.</t>
  </si>
  <si>
    <t>(b) As mentioned in item 21 of the said Schedule, if there is no employee based outside India, the value</t>
  </si>
  <si>
    <t>of fringe benefits to be filled in column ii shall be same as recorded in the books of account in</t>
  </si>
  <si>
    <t>India.</t>
  </si>
  <si>
    <t>(c) Further, as mentioned in item 22 of the said Schedule, if there are employees based outside India</t>
  </si>
  <si>
    <t>and separate books of account for Indian and foreign operations are maintained, the value of fringe</t>
  </si>
  <si>
    <t>benefits to be filled in column ii shall be same as recorded in the books of account in India.</t>
  </si>
  <si>
    <t>(d) Also as mentioned in item 23 of the said schedule, if there are employees based outside India and</t>
  </si>
  <si>
    <t>separate books of account for Indian and foreign operations are not maintained, the value of fringe</t>
  </si>
  <si>
    <t>benefits to be filled in column ii shall be as per global books of account and thereafter the value of</t>
  </si>
  <si>
    <t>fringe benefits to be taxed in India shall be computed on proportionate basis as explained in said</t>
  </si>
  <si>
    <t>item 23.</t>
  </si>
  <si>
    <t>(e) If accounts have been maintained separately for each business, column ii be filled on the basis of</t>
  </si>
  <si>
    <t>consolidated figures of all the businesses.</t>
  </si>
  <si>
    <t>(iv) Where the books of account are auditable under section 44AB, the value in column ii should broadly</t>
  </si>
  <si>
    <t>match with the value shown in the audit report under said section.</t>
  </si>
  <si>
    <t>(v) In item 4, any expenditure on or payment for food and beverages provided by the employer to his</t>
  </si>
  <si>
    <t>employees in office or factory or any payment through non-transferable paid vouchers usable only at</t>
  </si>
  <si>
    <t>eating joints or outlets shall not be included in column ii.</t>
  </si>
  <si>
    <t>Tax Deduction
Account Number
(TAN) of the Employer</t>
  </si>
  <si>
    <t>Name of the Employer</t>
  </si>
  <si>
    <t>Income charg
eable under the
head Salaries</t>
  </si>
  <si>
    <t>Total tax
Deducted</t>
  </si>
  <si>
    <t>Tax Deduction
Account Number
(TAN) of the Deductor</t>
  </si>
  <si>
    <t>Name of the Deductor</t>
  </si>
  <si>
    <t>Details of Advance Tax and Self Assessment Tax Payments</t>
  </si>
  <si>
    <t>Other Information (transactions reported through Annual Information Return) (Please see instruction number-9(ii) for code)</t>
  </si>
  <si>
    <t>Sl</t>
  </si>
  <si>
    <t>Code</t>
  </si>
  <si>
    <t>R-Revised</t>
  </si>
  <si>
    <t>If the return has been prepared by a Tax Return Preparer (TRP) give further details as below:</t>
  </si>
  <si>
    <t>d</t>
  </si>
  <si>
    <t>e</t>
  </si>
  <si>
    <t>f</t>
  </si>
  <si>
    <t>g</t>
  </si>
  <si>
    <t>k</t>
  </si>
  <si>
    <t>l</t>
  </si>
  <si>
    <t>h</t>
  </si>
  <si>
    <t>j</t>
  </si>
  <si>
    <t>8a</t>
  </si>
  <si>
    <t>8b</t>
  </si>
  <si>
    <t>TAXES PAID</t>
  </si>
  <si>
    <t>Date(DD/MM/YYYY)</t>
  </si>
  <si>
    <t>VERIFICATION</t>
  </si>
  <si>
    <t>Date</t>
  </si>
  <si>
    <t>In case of direct deposit to your bank account give additional details</t>
  </si>
  <si>
    <t>REFUND</t>
  </si>
  <si>
    <t>Sl No</t>
  </si>
  <si>
    <t>Name of TRP</t>
  </si>
  <si>
    <t>State</t>
  </si>
  <si>
    <t>FORM</t>
  </si>
  <si>
    <t>INDIAN INCOME TAX RETURN</t>
  </si>
  <si>
    <t>01-ANDAMAN AND NICOBAR ISLANDS</t>
  </si>
  <si>
    <t>02-ANDHRA PRADESH</t>
  </si>
  <si>
    <t>ANDAMAN AND NICOBAR ISLANDS</t>
  </si>
  <si>
    <t>03-ARUNACHAL PRADESH</t>
  </si>
  <si>
    <t>Profit and Loss</t>
  </si>
  <si>
    <t>ANDHRA PRADESH</t>
  </si>
  <si>
    <t>04-ASSAM</t>
  </si>
  <si>
    <t>PERSONAL INFORMATION</t>
  </si>
  <si>
    <t>First Name</t>
  </si>
  <si>
    <t>Middle Name</t>
  </si>
  <si>
    <t>Last Name</t>
  </si>
  <si>
    <t>PAN</t>
  </si>
  <si>
    <t>ITR-4S</t>
  </si>
  <si>
    <t>SUGAM</t>
  </si>
  <si>
    <r>
      <t xml:space="preserve">Income from Business (E6 of Sch BP) </t>
    </r>
    <r>
      <rPr>
        <b/>
        <sz val="10"/>
        <color indexed="10"/>
        <rFont val="Times New Roman"/>
        <family val="1"/>
      </rPr>
      <t>(Note : This value will be filled automatically from ch BP in Next Sheet. Do not enter the value here.</t>
    </r>
  </si>
  <si>
    <t>6a</t>
  </si>
  <si>
    <t>6b</t>
  </si>
  <si>
    <t>6c(i)</t>
  </si>
  <si>
    <t>6c(ii)</t>
  </si>
  <si>
    <t>6d</t>
  </si>
  <si>
    <t>6e</t>
  </si>
  <si>
    <t>6f</t>
  </si>
  <si>
    <t>6g</t>
  </si>
  <si>
    <t>6h</t>
  </si>
  <si>
    <t>6i</t>
  </si>
  <si>
    <t>6j</t>
  </si>
  <si>
    <t>6k</t>
  </si>
  <si>
    <t>6l</t>
  </si>
  <si>
    <t>6m</t>
  </si>
  <si>
    <t>Total Income (5 - 7)</t>
  </si>
  <si>
    <t>Total Interest payable</t>
  </si>
  <si>
    <t>Education Cess, including secondary and higher secondary cess on 9</t>
  </si>
  <si>
    <t>Nature of business or profession, if more than one business or profession indicate the three main activities/ products</t>
  </si>
  <si>
    <t>S.No.</t>
  </si>
  <si>
    <t>Code
[Please see instruction No.9(ii)]</t>
  </si>
  <si>
    <t>Tradename</t>
  </si>
  <si>
    <t>(i)</t>
  </si>
  <si>
    <t>(ii)</t>
  </si>
  <si>
    <t>(iii)</t>
  </si>
  <si>
    <t>0101-Agro-based industries</t>
  </si>
  <si>
    <t>0102-Automobile and Auto parts</t>
  </si>
  <si>
    <t>0103-Cement</t>
  </si>
  <si>
    <t>0104-Diamond cutting</t>
  </si>
  <si>
    <t>0105-Drugs and Pharmaceuticals</t>
  </si>
  <si>
    <t>0106-Electronics including Computer Hardware</t>
  </si>
  <si>
    <t>0107-Engineering goods</t>
  </si>
  <si>
    <t>0108-Fertilizers, Chemicals, Paints</t>
  </si>
  <si>
    <t>0109-Flour &amp; Rice Mills</t>
  </si>
  <si>
    <t>0110-Food Processing units</t>
  </si>
  <si>
    <t>0111-Marble &amp; Granite</t>
  </si>
  <si>
    <t>0112-Paper</t>
  </si>
  <si>
    <t>0113-Petroleum and Petrochemicals</t>
  </si>
  <si>
    <t>0114-Power and energy</t>
  </si>
  <si>
    <t>0115-Printing &amp; Publishing</t>
  </si>
  <si>
    <t>0116-Rubber</t>
  </si>
  <si>
    <t>0117-Steel</t>
  </si>
  <si>
    <t>0118-Sugar</t>
  </si>
  <si>
    <t>0119-Tea, Coffee</t>
  </si>
  <si>
    <t>0120-Textiles, handloom, Power looms</t>
  </si>
  <si>
    <t>0121-Tobacco</t>
  </si>
  <si>
    <t>0122-Tyre</t>
  </si>
  <si>
    <t>0123-Vanaspati &amp; Edible Oils</t>
  </si>
  <si>
    <t>0124-Others</t>
  </si>
  <si>
    <t>0201-Chain Stores</t>
  </si>
  <si>
    <t>0202-Retailers</t>
  </si>
  <si>
    <t>0203-Wholesalers</t>
  </si>
  <si>
    <t>0204-Others</t>
  </si>
  <si>
    <t>0301-General Commission Agents</t>
  </si>
  <si>
    <t>0401-Builders</t>
  </si>
  <si>
    <t>0402-Estate Agents</t>
  </si>
  <si>
    <t>0403-Property Developers</t>
  </si>
  <si>
    <t>0404-Others</t>
  </si>
  <si>
    <t>0501-Civil Contractors</t>
  </si>
  <si>
    <t>0502-Excise Contractors</t>
  </si>
  <si>
    <t>0503-Forest Contractors</t>
  </si>
  <si>
    <t>0504-Mining Contractors</t>
  </si>
  <si>
    <t>0505-Others</t>
  </si>
  <si>
    <t>0601-Chartered Accountants, Auditors, etc.</t>
  </si>
  <si>
    <t>0602-Fashion designers</t>
  </si>
  <si>
    <t>0603-Legal professionals</t>
  </si>
  <si>
    <t>0604-Medical professionals</t>
  </si>
  <si>
    <t>0605-Nursing Homes</t>
  </si>
  <si>
    <t>0606-Specialty hospitals</t>
  </si>
  <si>
    <t>0607-Others</t>
  </si>
  <si>
    <t>0701-Advertisement agencies</t>
  </si>
  <si>
    <t>0702-Beauty Parlours</t>
  </si>
  <si>
    <t>0703-Consultancy services</t>
  </si>
  <si>
    <t>0704-Courier Agencies</t>
  </si>
  <si>
    <t>0705-Computer training/educational and coaching institutes</t>
  </si>
  <si>
    <t>0706-Forex Dealers</t>
  </si>
  <si>
    <t>0707-Hospitality services</t>
  </si>
  <si>
    <t>0708-Hotels</t>
  </si>
  <si>
    <t>0709-I.T. enabled services, BPO service providers</t>
  </si>
  <si>
    <t>0710-Security agencies</t>
  </si>
  <si>
    <t>0711-Software development agencies</t>
  </si>
  <si>
    <t>0712-Transporters</t>
  </si>
  <si>
    <t>0713-Travel agents, tour operators</t>
  </si>
  <si>
    <t>0714-Others</t>
  </si>
  <si>
    <t>0801-Banking Companies</t>
  </si>
  <si>
    <t>0802-Chit Funds</t>
  </si>
  <si>
    <t>0803-Financial Institutions</t>
  </si>
  <si>
    <t>0804-Financial service providers</t>
  </si>
  <si>
    <t>0805-Leasing Companies</t>
  </si>
  <si>
    <t>0806-Money Lenders</t>
  </si>
  <si>
    <t>0807-Non-Banking Finance Companies</t>
  </si>
  <si>
    <t>0808-Share Brokers, Sub-brokers, etc.</t>
  </si>
  <si>
    <t>0809-Others</t>
  </si>
  <si>
    <t>0901-Cable T.V. productions</t>
  </si>
  <si>
    <t>0902-Film distribution</t>
  </si>
  <si>
    <t>0903-Film laboratories</t>
  </si>
  <si>
    <t>0904-Motion Picture Producers</t>
  </si>
  <si>
    <t>0905-Television Channels</t>
  </si>
  <si>
    <t>0906-Others</t>
  </si>
  <si>
    <t>Computation of income from business or profession</t>
  </si>
  <si>
    <t>COMPUTATION - PRESUMPTIVE INCOME</t>
  </si>
  <si>
    <t>PRESUMPTIVE INCOME UNDER 44AD</t>
  </si>
  <si>
    <t>E1</t>
  </si>
  <si>
    <t>Gross Turnover or Gross Receipts</t>
  </si>
  <si>
    <t>E2</t>
  </si>
  <si>
    <t>Total Presumptive income under 44AD (&gt;= 8% of E1)</t>
  </si>
  <si>
    <t>Note : If income is less tha 8% of Gross Receipts, it is mandatory to have a tax audit under 44AB and Regular ITR 4 form has to be filled and not this form</t>
  </si>
  <si>
    <t>PRESUMPTIVE INCOME UNDER 44AE</t>
  </si>
  <si>
    <t>E3</t>
  </si>
  <si>
    <t>E4</t>
  </si>
  <si>
    <t>E5</t>
  </si>
  <si>
    <t>Total Presumptive Income under 44AE (E3 + E4)</t>
  </si>
  <si>
    <t>Note : If the profits are lower than prescribed under S.44AE or the number of vehicles owned at any time exceel 10 then the regular ITR 4 form has to be filled and not this form</t>
  </si>
  <si>
    <t>E6</t>
  </si>
  <si>
    <t>Income Chargeable under Business (E2 + E5)</t>
  </si>
  <si>
    <t>Financial Particulars of the Business</t>
  </si>
  <si>
    <t>FINANCIAL PARTICULARS</t>
  </si>
  <si>
    <t>E7</t>
  </si>
  <si>
    <t>Amount of Total Sundry Debtors</t>
  </si>
  <si>
    <t>E8</t>
  </si>
  <si>
    <t>Amount of Total Sundry Creditors</t>
  </si>
  <si>
    <t>E9</t>
  </si>
  <si>
    <t>Amount of Total Stock-in-Trade</t>
  </si>
  <si>
    <t>E10</t>
  </si>
  <si>
    <t>Amount of the cash Balance</t>
  </si>
  <si>
    <t>TCS</t>
  </si>
  <si>
    <t>Details of Tax Collected at Source</t>
  </si>
  <si>
    <t xml:space="preserve">Tax Collection Account Number
</t>
  </si>
  <si>
    <t>Name of the Collector</t>
  </si>
  <si>
    <t>Total tax
Collected</t>
  </si>
  <si>
    <t>Amount out of
(4) claimed for
this year</t>
  </si>
  <si>
    <t>(Click  + to add more rows ) TCS above. Do not delete blank rows. )</t>
  </si>
  <si>
    <t xml:space="preserve"> </t>
  </si>
  <si>
    <t>ARUNACHAL PRADESH</t>
  </si>
  <si>
    <t>05-BIHAR</t>
  </si>
  <si>
    <t>ASSAM</t>
  </si>
  <si>
    <t>06-CHANDIGARH</t>
  </si>
  <si>
    <t>BIHAR</t>
  </si>
  <si>
    <t>07-DADRA AND NAGAR HAVELI</t>
  </si>
  <si>
    <t>CHANDIGARH</t>
  </si>
  <si>
    <t>08-DAMAN AND DIU</t>
  </si>
  <si>
    <t>DADRA AND NAGAR HAVELI</t>
  </si>
  <si>
    <t>09-DELHI</t>
  </si>
  <si>
    <t>DAMAN AND DIU</t>
  </si>
  <si>
    <t>10-GOA</t>
  </si>
  <si>
    <t>DELHI</t>
  </si>
  <si>
    <t>11-GUJARAT</t>
  </si>
  <si>
    <t>10</t>
  </si>
  <si>
    <t>GOA</t>
  </si>
  <si>
    <t>12-HARYANA</t>
  </si>
  <si>
    <t>11</t>
  </si>
  <si>
    <t>GUJARAT</t>
  </si>
  <si>
    <t>13-HIMACHAL PRADESH</t>
  </si>
  <si>
    <t>12</t>
  </si>
  <si>
    <t>HARYANA</t>
  </si>
  <si>
    <t>14-JAMMU AND KASHMIR</t>
  </si>
  <si>
    <t>Schedule DPM</t>
  </si>
  <si>
    <t>13</t>
  </si>
  <si>
    <t>HIMACHAL PRADESH</t>
  </si>
  <si>
    <t>15-KARNATAKA</t>
  </si>
  <si>
    <t>Schedule DOA</t>
  </si>
  <si>
    <t>19</t>
  </si>
  <si>
    <t>MAHARASHTRA</t>
  </si>
  <si>
    <t>16-KERALA</t>
  </si>
  <si>
    <t>Town/City/District</t>
  </si>
  <si>
    <t>Pin Code</t>
  </si>
  <si>
    <t>Sex (Select)</t>
  </si>
  <si>
    <t>22</t>
  </si>
  <si>
    <t>MIZORAM</t>
  </si>
  <si>
    <t>17-LAKHSWADEEP</t>
  </si>
  <si>
    <t>23</t>
  </si>
  <si>
    <t>NAGALAND</t>
  </si>
  <si>
    <t>18-MADHYA PRADESH</t>
  </si>
  <si>
    <t>M-Male</t>
  </si>
  <si>
    <t>24</t>
  </si>
  <si>
    <t>ORISSA</t>
  </si>
  <si>
    <t>19-MAHARASHTRA</t>
  </si>
  <si>
    <t>Schedule ESR</t>
  </si>
  <si>
    <t>27</t>
  </si>
  <si>
    <t>RAJASTHAN</t>
  </si>
  <si>
    <t>20-MANIPUR</t>
  </si>
  <si>
    <t>(Std code)</t>
  </si>
  <si>
    <t>28</t>
  </si>
  <si>
    <t>SIKKIM</t>
  </si>
  <si>
    <t>21-MEGHALAYA</t>
  </si>
  <si>
    <t>Schedule CG</t>
  </si>
  <si>
    <t>FILING STATUS</t>
  </si>
  <si>
    <t>01/08/2010</t>
  </si>
  <si>
    <t>29</t>
  </si>
  <si>
    <t>TAMILNADU</t>
  </si>
  <si>
    <t>22-MIZORAM</t>
  </si>
  <si>
    <t>Schedule OS</t>
  </si>
  <si>
    <t>Return filed under section</t>
  </si>
  <si>
    <t>30</t>
  </si>
  <si>
    <t>TRIPURA</t>
  </si>
  <si>
    <t>23-NAGALAND</t>
  </si>
  <si>
    <t>Schedule CYLA</t>
  </si>
  <si>
    <t>Structure of the utility for ITR1</t>
  </si>
  <si>
    <t>31</t>
  </si>
  <si>
    <t>UTTAR PRADESH</t>
  </si>
  <si>
    <t>24-ORISSA</t>
  </si>
  <si>
    <t>Schedule BFLA</t>
  </si>
  <si>
    <t>32</t>
  </si>
  <si>
    <t>WEST BENGAL</t>
  </si>
  <si>
    <t>25-PONDICHERRY</t>
  </si>
  <si>
    <t>O-Original</t>
  </si>
  <si>
    <t>FOREIGN</t>
  </si>
  <si>
    <t>26-PUNJAB</t>
  </si>
  <si>
    <t>Schedule CFL</t>
  </si>
  <si>
    <t>27-RAJASTHAN</t>
  </si>
  <si>
    <t>F-Female</t>
  </si>
  <si>
    <t>28-SIKKIM</t>
  </si>
  <si>
    <t>X-HUF</t>
  </si>
  <si>
    <t>29-TAMILNADU</t>
  </si>
  <si>
    <t>Residential Status</t>
  </si>
  <si>
    <t>30-TRIPURA</t>
  </si>
  <si>
    <t>Receipt No</t>
  </si>
  <si>
    <t>RES - Resident</t>
  </si>
  <si>
    <t>NRI - Non-Resident</t>
  </si>
  <si>
    <t>Seal and signature of receiving official</t>
  </si>
  <si>
    <t>OTH</t>
  </si>
  <si>
    <t>2012-13</t>
  </si>
  <si>
    <t>Place</t>
  </si>
  <si>
    <t>001</t>
  </si>
  <si>
    <t>002</t>
  </si>
  <si>
    <t>003</t>
  </si>
  <si>
    <t>004</t>
  </si>
  <si>
    <t>005</t>
  </si>
  <si>
    <t>006</t>
  </si>
  <si>
    <t>007</t>
  </si>
  <si>
    <t>008</t>
  </si>
  <si>
    <t>(1)</t>
  </si>
  <si>
    <t>(3)</t>
  </si>
  <si>
    <t>(4)</t>
  </si>
  <si>
    <t>(5)</t>
  </si>
  <si>
    <t>Yes</t>
  </si>
  <si>
    <t>No</t>
  </si>
  <si>
    <t>Savings</t>
  </si>
  <si>
    <t>Current</t>
  </si>
  <si>
    <t>31-UTTAR PRADESH</t>
  </si>
  <si>
    <t>32-WEST BENGAL</t>
  </si>
  <si>
    <t>99-FOREIGN</t>
  </si>
  <si>
    <t>Validate data before generating XML</t>
  </si>
  <si>
    <t>No of entries</t>
  </si>
  <si>
    <t>TDS on Salary</t>
  </si>
  <si>
    <t>TDS on Interest</t>
  </si>
  <si>
    <t>Tax Payments</t>
  </si>
  <si>
    <t>If the no of entries are 0</t>
  </si>
  <si>
    <t>In a schedule, there are mandatory fields</t>
  </si>
  <si>
    <t>For a row to be valid, these must be</t>
  </si>
  <si>
    <t>filled in.</t>
  </si>
  <si>
    <t>Also, do not skip blank rows</t>
  </si>
  <si>
    <t>Instructions to fill up Excel Utility</t>
  </si>
  <si>
    <t>Overview</t>
  </si>
  <si>
    <t>ii</t>
  </si>
  <si>
    <t>Before you begin</t>
  </si>
  <si>
    <t>iii</t>
  </si>
  <si>
    <t>iv</t>
  </si>
  <si>
    <t>v</t>
  </si>
  <si>
    <t>Filling up the sections of the form using the utility</t>
  </si>
  <si>
    <t>vi</t>
  </si>
  <si>
    <t>Validating the sheets</t>
  </si>
  <si>
    <t>vii</t>
  </si>
  <si>
    <t>Generating the XML</t>
  </si>
  <si>
    <t>Printing</t>
  </si>
  <si>
    <t>Fill up applicable schedules</t>
  </si>
  <si>
    <t>Validate each sheet</t>
  </si>
  <si>
    <t>Generate XML</t>
  </si>
  <si>
    <t>Validate Summary</t>
  </si>
  <si>
    <t>Upload the XML</t>
  </si>
  <si>
    <t>Read the general instructions for filling up the form.</t>
  </si>
  <si>
    <t>The name of each sheet displays in the tab at the bottom of the workbook.</t>
  </si>
  <si>
    <t>Each sheet is identified by the sheet tabs located at the bottom of the Excel window. These tabs are labelled with abbreviation forms of the schedules of the sheet.</t>
  </si>
  <si>
    <t>Filling up the sections of the form using the utility.</t>
  </si>
  <si>
    <t>Every section / schedule is color coded to facilitate the user to enter data.</t>
  </si>
  <si>
    <t>Presumptive Income From Heavy Vehicles  (From 44AE Calculation Sheet)</t>
  </si>
  <si>
    <t>Presumptive Income From Other Vehicles (From 44AE Calculation Sheet)</t>
  </si>
  <si>
    <r>
      <t xml:space="preserve">Income per Vehicle </t>
    </r>
    <r>
      <rPr>
        <b/>
        <sz val="10"/>
        <color indexed="10"/>
        <rFont val="Arial"/>
        <family val="2"/>
      </rPr>
      <t>(MUST be &gt;= Rs 5000 p.m. per vehicle)</t>
    </r>
  </si>
  <si>
    <t>Income per Vehicle (MUST be &gt;= Rs 4,500 p.m. per vehicle)</t>
  </si>
  <si>
    <t xml:space="preserve">TOTAL No of Vehicles </t>
  </si>
  <si>
    <t>Nil Tax Balance</t>
  </si>
  <si>
    <t/>
  </si>
  <si>
    <t>There are following different types of cells in the sheet.</t>
  </si>
  <si>
    <t>Tax payable on Aggregate Income</t>
  </si>
  <si>
    <t>Email Address</t>
  </si>
  <si>
    <t>Status</t>
  </si>
  <si>
    <t>I - Individual</t>
  </si>
  <si>
    <t xml:space="preserve">Enter your Bank Account number </t>
  </si>
  <si>
    <t>Validating the sheets :</t>
  </si>
  <si>
    <t>Printing.</t>
  </si>
  <si>
    <t>GENERAL</t>
  </si>
  <si>
    <t>(b) In case of an individual, for “employer category”, Government category will include Central Government/ State Governments</t>
  </si>
  <si>
    <t>employees. PSU category will include public sector companies of Central Government and State Government;</t>
  </si>
  <si>
    <t>(c) The code for sections under which the return is filed be filled as per code given in instruction No.9(i).</t>
  </si>
  <si>
    <t>(d) In case the return is being filed by you in a representative capacity, please ensure to quote your PAN in item “PAN of the</t>
  </si>
  <si>
    <t>representative assessee”. In case the PAN of the person being represented is not known or he has not got a PAN in India, the</t>
  </si>
  <si>
    <t>item for PAN in the first line of the return may be left blank. It may please be noted that in the first line of this form, the name</t>
  </si>
  <si>
    <t>of the person being represented be filled.</t>
  </si>
  <si>
    <t>GENERAL2</t>
  </si>
  <si>
    <t>SUBSIDIARY DETAILS</t>
  </si>
  <si>
    <t>These details are only to be filled in if Type of Company is Either Holding or Both(Holding as well as Subsidiary)</t>
  </si>
  <si>
    <t>NATURE  OF BUSINESS</t>
  </si>
  <si>
    <t>Enter at least one nature of business</t>
  </si>
  <si>
    <t>Enter maximum 3 entries in nature of business</t>
  </si>
  <si>
    <t>Enter upto 3 tradenames per nature of business</t>
  </si>
  <si>
    <t>BALANCE_SHEET</t>
  </si>
  <si>
    <t>(a) The Balance Sheet as on 31st March,2007 and the profit and loss account for financial year 2006-07 in the formats</t>
  </si>
  <si>
    <t>provided in these parts have to be filled in respect of business carried out by the firm during</t>
  </si>
  <si>
    <t>the financial year 2006-07</t>
  </si>
  <si>
    <t xml:space="preserve">Type of Account(As applicable) </t>
  </si>
  <si>
    <t xml:space="preserve">Sl </t>
  </si>
  <si>
    <t xml:space="preserve">h </t>
  </si>
  <si>
    <t xml:space="preserve">  Sign here -&gt;</t>
  </si>
  <si>
    <t>Identification No of TRP</t>
  </si>
  <si>
    <t>son/daughter of</t>
  </si>
  <si>
    <t xml:space="preserve">If TRP is entitled for any reimbursement from the Government, amount thereof (to be filled by TRP) </t>
  </si>
  <si>
    <t>( b) In case, accounts of the business or profession were required to be audited, the items of balance sheet and profit</t>
  </si>
  <si>
    <t>and loss account filled in the these parts should broadly match with the audited balance sheet and profit and loss</t>
  </si>
  <si>
    <t>account.</t>
  </si>
  <si>
    <t>All blank entries will be treated as zeroes.</t>
  </si>
  <si>
    <t>PROFIT_LOSS</t>
  </si>
  <si>
    <t>provided in these parts have to be filled in respect of proprietory business or profession carried out by you during</t>
  </si>
  <si>
    <t>the financial year 2006-07 if you were required to maintain accounts of the business or profession during the year.</t>
  </si>
  <si>
    <t>(c) In case, you were not required to maintain accounts of the business or profession during the year, please fill out</t>
  </si>
  <si>
    <t>the details mentioned in these parts against portion ‘No account case’.</t>
  </si>
  <si>
    <t>OTHER_INFORMATION</t>
  </si>
  <si>
    <t>If the accounts of the business or profession were not required to be audited under section 44AB, it is optional to</t>
  </si>
  <si>
    <t>fill these parts.</t>
  </si>
  <si>
    <t>(b) Where the accounts of the business or profession were required to be audited under section 44AB, the details to</t>
  </si>
  <si>
    <t>be filled in these parts which are also required to be reported in the report of audit by the auditors, should broadly</t>
  </si>
  <si>
    <t>match with the details as given in the report of audit.</t>
  </si>
  <si>
    <t>(c) Purchases are to be shown exclusive of taxes and the details of taxes paid on the purchases are to be</t>
  </si>
  <si>
    <t>indicated separately in the relevant rows. However, where it is not possible to segregate the details of</t>
  </si>
  <si>
    <t>the different taxes paid on the purchases, the same may be included and shown in the details of</t>
  </si>
  <si>
    <t>purchases.</t>
  </si>
  <si>
    <t>QUANTITATIVE_DETAILS</t>
  </si>
  <si>
    <t xml:space="preserve">Exempt income for reporting purposes only </t>
  </si>
  <si>
    <t>Various sheets and schedules per sheet form part of the Utility.</t>
  </si>
  <si>
    <t xml:space="preserve">Each sheet includes a number of distinct, titled sections / schedules. </t>
  </si>
  <si>
    <t>The ITR1 Excel Utility is an Excel Workbook that consists of 4 WorkSheets</t>
  </si>
  <si>
    <t>If u/s 139(9)-defective return , enter Notice  Date</t>
  </si>
  <si>
    <t>Amount out of
(6) claimed for
this year</t>
  </si>
  <si>
    <t>Address</t>
  </si>
  <si>
    <t>City or Town or District</t>
  </si>
  <si>
    <t>State Code</t>
  </si>
  <si>
    <t>City Or Town Or District</t>
  </si>
  <si>
    <t>(c) In Part A-QD, the quantitative details may be furnished only in respect of principal items.</t>
  </si>
  <si>
    <t>PART_B</t>
  </si>
  <si>
    <t>PART B-TI-COMPUTATION OF TOTAL INCOME</t>
  </si>
  <si>
    <t>(i) In this part the summary of income computed under various heads and as set off in Schedule CFLA and Schedule BFLA is to</t>
  </si>
  <si>
    <t>be entered.</t>
  </si>
  <si>
    <t>(ii) Every entry which have to be filled on basis of Schedules have been crossed referenced and hence doesn’t need any further</t>
  </si>
  <si>
    <t>clarification.</t>
  </si>
  <si>
    <t>PART B-TI-COMPUTATION OF TAX LIABILITY ON TOTAL INCOME</t>
  </si>
  <si>
    <t>(a) in item 1a , fill the details of gross tax liability to be computed at the applicable rate. The tax liability has to be computed at</t>
  </si>
  <si>
    <t>the rates given as under:-</t>
  </si>
  <si>
    <t>(A) In case of a domestic company, @ 30% of the total income;</t>
  </si>
  <si>
    <t>(B) In a case of a company other than a domestic company –</t>
  </si>
  <si>
    <t>- @ 50% of on so much of the total income as consist of (a) royalties received from Government or an Indian concern in</t>
  </si>
  <si>
    <t>pursuance of an agreement made by it with the Government or the Indian concern after the 31st day of March, 1961</t>
  </si>
  <si>
    <t>but before the 1st day of April, 1976; or (b) fees for rendering technical services received from Government or an</t>
  </si>
  <si>
    <t>Indian concern in pursuance of an agreement made by it with the Government or the Indian concern after the 29th day</t>
  </si>
  <si>
    <t>of February, 1964 but before the 1st day of April, 1976, and where such agreement has, in either case, been approved</t>
  </si>
  <si>
    <t>by the Central Government;</t>
  </si>
  <si>
    <t>- @ 30% of the balance</t>
  </si>
  <si>
    <t>(b) In item 8, fill the details of surcharge computed @ 10% of tax in case of a domestic company and @ two and a half per cent of</t>
  </si>
  <si>
    <t>V21</t>
  </si>
  <si>
    <t>the tax arrived upon in item 7.</t>
  </si>
  <si>
    <t>(c) In item No. 9, calculate the education cess at the rate of two per cent of [item No.7 + item No. 8]</t>
  </si>
  <si>
    <t>PART_C</t>
  </si>
  <si>
    <t>Schedule BA</t>
  </si>
  <si>
    <t>In this schedule, please quote the MICR code of the bank if you desire to receive the refund through electronic</t>
  </si>
  <si>
    <t>clearing system (ECS). However, it may not be possible to issue the refund in all cases through ECS since the</t>
  </si>
  <si>
    <t>ECS facility is not available across the country.</t>
  </si>
  <si>
    <t>PART C-FB-COMPUTATION OF VALUE OF FRINGE BENEFITS AND TAX THEREON</t>
  </si>
  <si>
    <t>(i) Quarter wise break-up of fringe benefits is required to be given in items 1 to 4, so as to facilitate computation of interest in</t>
  </si>
  <si>
    <t>item 12 for default in paying the quarterly instalments of advance fringe benefits tax.</t>
  </si>
  <si>
    <t>(ii) In item 5, fill the details of fringe benefits as computed in item 20(d) of Schedule 17. The amount in item 5 must necessarily</t>
  </si>
  <si>
    <t>be equal to the total of the amounts in items 1 to 4.</t>
  </si>
  <si>
    <t>(iii) In item 6, compute the fringe benefit tax payable on the value of fringe benefits for the previous year, i.e., on the amount in</t>
  </si>
  <si>
    <t>item 5.</t>
  </si>
  <si>
    <t>(iv) In item 7, compute the surcharge as prescribed by the law on the fringe benefit tax as computed in item 6. In case of a</t>
  </si>
  <si>
    <t>domestic company the rate of surcharge is 10 per cent whereas in case of a company other than a domestic company the rate</t>
  </si>
  <si>
    <t>of surcharge is two and one-half per cent.</t>
  </si>
  <si>
    <t>(v) In item 8, compute the education cess as prescribed by the law on the fringe benefit tax and surcharge thereon. The rate of</t>
  </si>
  <si>
    <t>education cess is 2 per cent.</t>
  </si>
  <si>
    <t>(vi) In item 12, compute the interest under section 115WJ(3) for default in payment of advance fringe benefit tax.</t>
  </si>
  <si>
    <t>(vii) In item 13, compute the interest under section 115WK(1) for defaults in furnishing return of fringe benefits.</t>
  </si>
  <si>
    <t>20. VERIFICATION</t>
  </si>
  <si>
    <t>(a) In case the return is to be furnished electronically under digital signature, please fill up the required information in the</t>
  </si>
  <si>
    <t>Verification. Strike out whatever is not applicable. Please ensure that the verification has been signed before furnishing the</t>
  </si>
  <si>
    <t>return. Write the designation of the person signing the return.</t>
  </si>
  <si>
    <t>(b) In case the return is to be furnished electronically in the manner mentioned in instruction no. 5(iii), please fill verification form</t>
  </si>
  <si>
    <t>(Form ITR-V)</t>
  </si>
  <si>
    <r>
      <t xml:space="preserve">Important Do's and Dont's while filling TDS and Bank Payment data : 
Do not </t>
    </r>
    <r>
      <rPr>
        <sz val="10"/>
        <rFont val="Times New Roman"/>
        <family val="1"/>
      </rPr>
      <t xml:space="preserve">skip any row in between as blank while filling up this data in the provided tables. 
</t>
    </r>
    <r>
      <rPr>
        <b/>
        <sz val="10"/>
        <rFont val="Times New Roman"/>
        <family val="1"/>
      </rPr>
      <t xml:space="preserve">Do not </t>
    </r>
    <r>
      <rPr>
        <sz val="10"/>
        <rFont val="Times New Roman"/>
        <family val="1"/>
      </rPr>
      <t xml:space="preserve">use 2 rows for entering value for a particular entry. 
Example : If address is longer than the available space, please continue typing in the provided space, 
and do not move to the next cell to complete the rest of the address. The cell will automatically expand 
and accept the full address in the same cell. 
</t>
    </r>
    <r>
      <rPr>
        <b/>
        <sz val="10"/>
        <rFont val="Times New Roman"/>
        <family val="1"/>
      </rPr>
      <t xml:space="preserve">Do not </t>
    </r>
    <r>
      <rPr>
        <sz val="10"/>
        <rFont val="Times New Roman"/>
        <family val="1"/>
      </rPr>
      <t>delete blank rows as utility will automatically ensure they are not added to the XML generated.</t>
    </r>
  </si>
  <si>
    <t>Validate the filled up sheet using the "Validate" button. Correct errors identified by the validate feature.</t>
  </si>
  <si>
    <t xml:space="preserve">Click on the "XML Generate" button. This will re validate all the sheets, and direct the user to the confirmation page which 
shows the various schedules and the no of rows per schedule being generated. </t>
  </si>
  <si>
    <t>Once verified ok, the tax payer can then click on Save XML option to generate XML. 
The utility will inform the user with the name and location of the saved XML.</t>
  </si>
  <si>
    <t>This XML \can then be uploaded towards efiling your return and an acknowledgement can be hence generated.</t>
  </si>
  <si>
    <t>Generating the XML and Verifying before uploading to efiling Web Site :</t>
  </si>
  <si>
    <t>The print button provides the option to the user to print both the sheets of ITR1 after previewing the same. 
On clicking "Print", the tax payer can click on OK for print preview option, preview the pages which will be printed, and 
Click on the "Print.." button on the menu of the preview pages to print the ITR Return.</t>
  </si>
  <si>
    <t>This section captures data on Tax Payers Personal Information, Filing status, Income and Deductions and Tax Computations</t>
  </si>
  <si>
    <t>This section captures data on Taxes Paid, Refunds, AIR Transactions, Verification and TRP information, TDS and Bankpayment details.</t>
  </si>
  <si>
    <r>
      <t>1.</t>
    </r>
    <r>
      <rPr>
        <sz val="10"/>
        <rFont val="Times New Roman"/>
        <family val="1"/>
      </rPr>
      <t xml:space="preserve"> Validate against each schedule the count of no of entries.</t>
    </r>
  </si>
  <si>
    <r>
      <t>2.</t>
    </r>
    <r>
      <rPr>
        <sz val="10"/>
        <rFont val="Times New Roman"/>
        <family val="1"/>
      </rPr>
      <t xml:space="preserve"> This is required to confirm that the total no of entries entered per schedule is valid and being generated in the final XML</t>
    </r>
  </si>
  <si>
    <r>
      <t>3.</t>
    </r>
    <r>
      <rPr>
        <sz val="10"/>
        <rFont val="Times New Roman"/>
        <family val="1"/>
      </rPr>
      <t xml:space="preserve"> In case this count does not match to the entered number of entries, you may recheck the schedules, refer to instructions for filling up tables, and ensure that all entries are valid and completely entered.</t>
    </r>
  </si>
  <si>
    <r>
      <t>4.</t>
    </r>
    <r>
      <rPr>
        <sz val="10"/>
        <rFont val="Times New Roman"/>
        <family val="1"/>
      </rPr>
      <t xml:space="preserve"> Once this sheet is validated, you may click on Save XML to generate the XML file</t>
    </r>
  </si>
  <si>
    <t>(c) Please note that any person making a false statement in the return or the accompanying schedules shall be liable to be</t>
  </si>
  <si>
    <t>prosecuted under section 277 of the Income-tax Act, 1961 and on conviction be punishable under that section with rigorous</t>
  </si>
  <si>
    <t>imprisonment and with fine.</t>
  </si>
  <si>
    <t>HOUSE_PROPERTY</t>
  </si>
  <si>
    <t>If there are three or less than three house properties, fill out the details for each properties in this Schedule. If there are more</t>
  </si>
  <si>
    <t>than two house properties, the details of remaining properties be filled in a separate sheet in the format of this Schedule. and</t>
  </si>
  <si>
    <t>attach this sheet with this return. The results of all the properties have to be filled in last row of this Schedule. Following points</t>
  </si>
  <si>
    <t>also need to be clarified,-</t>
  </si>
  <si>
    <t>(i) Annual letable value means the amount for which the house property may reasonably be expected to let</t>
  </si>
  <si>
    <t>from year to year, on a notional basis: Deduction for taxes paid to local authority shall be available only if</t>
  </si>
  <si>
    <t>the property is in the occupation of a tenant, and such taxes are borne by the assessee and not by the tenant</t>
  </si>
  <si>
    <t>and have actually been paid during the year.</t>
  </si>
  <si>
    <t>(ii) Deduction is available for unrealized rent in the case of a let-out property. If such a deduction has been</t>
  </si>
  <si>
    <t>taken in an earlier assessment year, and such unrealized rent is actually received in the assessment year in</t>
  </si>
  <si>
    <t>question, the unrealized rent so received is to be shown in item 4a of this Schedule.</t>
  </si>
  <si>
    <t>(iii) Item 4b of this Schedule relates to enhancement of rent with retrospective effect. Here mention back</t>
  </si>
  <si>
    <t>years’ extra rent received thereon, and claim deduction @ 30% of such arrear rent received.</t>
  </si>
  <si>
    <t>BP</t>
  </si>
  <si>
    <t>(i) The computation in this schedule has to be started on the basis of profit before tax as shown in item 43 of Part-AP&amp;</t>
  </si>
  <si>
    <t>L.</t>
  </si>
  <si>
    <t>(ii) In case any item of addition or deduction not covered by the items mentioned in this schedule be filled in residual</t>
  </si>
  <si>
    <t>items 21 and 26 of this schedule.</t>
  </si>
  <si>
    <t>(iii) In case accounts of business or profession are not maintained, the profit as entered into by you in item 50d of</t>
  </si>
  <si>
    <t>Part A-P&amp;L.</t>
  </si>
  <si>
    <t>(iv) In case, agricultural income to be excluded on the basis of rule 7A, 7B or 7C (in business of growing and</t>
  </si>
  <si>
    <t>manufacturing tea, coffee etc), it shall not be included in the item 5c of this schedule.</t>
  </si>
  <si>
    <t>(v) Item C of this schedule computes the total of profit or loss from business or profession (other than speculative</t>
  </si>
  <si>
    <t>business and profit or loss from speculative business) (item A37 + item B41). Please note that if balance in item</t>
  </si>
  <si>
    <t>B41 in respect of speculative business is a loss, same shall not be set-off against profit from non-speculative</t>
  </si>
  <si>
    <t>business. In such situation, only the figures of item A37 be entered in item C.</t>
  </si>
  <si>
    <t>DPM_DOA</t>
  </si>
  <si>
    <t>For sake of convenience, computation of depreciation allowable under the Income-tax Act [other than in case of an</t>
  </si>
  <si>
    <t>undertaking generating electricity which may at its option claim deprecation on straight line method under section</t>
  </si>
  <si>
    <t>32(1)(i)], has been divided into two parts i.e. in schedules DPM (depreciation on plant and machinery )and DOA</t>
  </si>
  <si>
    <t>(depreciation on other assets). The summery of depreciation as per these schedules has to be shown in schedule DEP.</t>
  </si>
  <si>
    <t>Deemed short term capital gain, if any as computed in schedule DPM and DOA has to be entered into schedule DCG.</t>
  </si>
  <si>
    <t>DEP_DCG</t>
  </si>
  <si>
    <t>ESR</t>
  </si>
  <si>
    <t>In column (2) of this schedule, please furnish the details of deduction to which you are entitled under provisions of this</t>
  </si>
  <si>
    <t>section. In column (1), please enter the amounts of expenses of the nature covered by section 35 which are, if, debited</t>
  </si>
  <si>
    <t>to profit and loss account. Please note that no deduction for depreciation is available in respect of capital asset for</t>
  </si>
  <si>
    <t>which deduction under section 35(1)(iv) has been claimed.</t>
  </si>
  <si>
    <t>CG_OS</t>
  </si>
  <si>
    <t>(i) If more than one short-term capital asset has been transferred, make the combined computation for all the assets.</t>
  </si>
  <si>
    <t>Similarly, make the combined computation for all the assets if more than one long-term capital asset has been</t>
  </si>
  <si>
    <t>transferred.</t>
  </si>
  <si>
    <t>(ii) For computing long-term capital gain, cost of acquisition and cost of improvement may be indexed, if required,</t>
  </si>
  <si>
    <t>on the basis of following cost inflation index notified by the Central Government for this purpose.</t>
  </si>
  <si>
    <t>Sl.No.</t>
  </si>
  <si>
    <t>Financial Year</t>
  </si>
  <si>
    <t xml:space="preserve">Cost Inflation Index </t>
  </si>
  <si>
    <t xml:space="preserve">Sl.No. </t>
  </si>
  <si>
    <t>Cost Inflation Index</t>
  </si>
  <si>
    <t>1981-82</t>
  </si>
  <si>
    <t>1994-95</t>
  </si>
  <si>
    <t>1982-83</t>
  </si>
  <si>
    <t>1995-96</t>
  </si>
  <si>
    <t>1983-84</t>
  </si>
  <si>
    <t>1996-97</t>
  </si>
  <si>
    <r>
      <t>Advance Tax (from item 25</t>
    </r>
    <r>
      <rPr>
        <sz val="10"/>
        <color indexed="48"/>
        <rFont val="Times New Roman"/>
        <family val="1"/>
      </rPr>
      <t>)</t>
    </r>
  </si>
  <si>
    <t>Self Assessment Tax (item 25)</t>
  </si>
  <si>
    <t>1984-85</t>
  </si>
  <si>
    <t>1997-98</t>
  </si>
  <si>
    <t>1985-86</t>
  </si>
  <si>
    <t>1998-99</t>
  </si>
  <si>
    <t>1986-87</t>
  </si>
  <si>
    <t>1999-00</t>
  </si>
  <si>
    <t>1987-88</t>
  </si>
  <si>
    <t>2000-01</t>
  </si>
  <si>
    <t>1988-89</t>
  </si>
  <si>
    <t>2001-02</t>
  </si>
  <si>
    <t>1989-90</t>
  </si>
  <si>
    <t>2002-03</t>
  </si>
  <si>
    <t>1990-91</t>
  </si>
  <si>
    <t>2003-04</t>
  </si>
  <si>
    <t>1991-92</t>
  </si>
  <si>
    <t>2004-05</t>
  </si>
  <si>
    <t>1992-93</t>
  </si>
  <si>
    <t>2005-06</t>
  </si>
  <si>
    <t>1993-94</t>
  </si>
  <si>
    <t>2006-07</t>
  </si>
  <si>
    <t>(iii) Sections 54/54B/54D/54EC/ 54F/54G/54GA mentioned in this schedule provides exemption on capital gains</t>
  </si>
  <si>
    <t>subject to fulfillment of certain conditions. Exemption under some of these sections is available only in respect</t>
  </si>
  <si>
    <t>of long-term capital gains. Therefore, please ensure that you are claiming the benefit of any of these sections</t>
  </si>
  <si>
    <t>correctly in accordance with the provisions of law.</t>
  </si>
  <si>
    <t>(iv) Item C of this Schedule computes the total of short-term capital gain and long-term capital gain (item A4 + item</t>
  </si>
  <si>
    <t>33-CHHATISHGARH</t>
  </si>
  <si>
    <t>34-UTTARANCHAL</t>
  </si>
  <si>
    <t>35-JHARKHAND</t>
  </si>
  <si>
    <t>B5). Please note that if balance in item B5 in respect of long-term capital gain is a loss, same shall not be set-off</t>
  </si>
  <si>
    <t>against short-term capital gain. In such situation, only the figures of item A4 be entered in item C.</t>
  </si>
  <si>
    <t>(a) Against item 1a and 1b, enter the details of gross income by way of dividend and interest which is not exempt.</t>
  </si>
  <si>
    <t>(b) Against item 1c, indicate the gross income from machinery, plant or furniture let on hire and also such income</t>
  </si>
  <si>
    <t>from building where its letting is inseparable from the letting of the said machinery, plant or furniture, if it is not</t>
  </si>
  <si>
    <t>chargeable to income-tax under the head “Profits and gains of business or profession”.</t>
  </si>
  <si>
    <t>(c) Income from owning and maintaining race horses is to be computed separately as loss from owning and</t>
  </si>
  <si>
    <t>maintaining race horses cannot be adjusted against income from any other source, and can only be carried forward</t>
  </si>
  <si>
    <t>for set off against similar income in subsequent years.</t>
  </si>
  <si>
    <t>(d) Winnings from lotteries, crossword puzzles, races etc., are subject to special rates of tax; hence a separate item is</t>
  </si>
  <si>
    <t>provided.</t>
  </si>
  <si>
    <t>(e) Item 5 of this Schedule computes the total income chargeable under the head “Income from other sources” (item</t>
  </si>
  <si>
    <t>1g + item 2 + item 3 + item 4c). If balance in item 4c from owning and maintaining race horses is a loss, please</t>
  </si>
  <si>
    <t>enter in item 5 only the sum of item 1g, item 2 and item 3.</t>
  </si>
  <si>
    <t>CYLA BFLA</t>
  </si>
  <si>
    <t>(i) Mention only positive incomes of the current year in column 1, headwise, in the relevant rows.</t>
  </si>
  <si>
    <t>(ii) Mention total current year’s loss(es), if any, from house property, business or profession and other sources (other</t>
  </si>
  <si>
    <t>than losses from race horses) in the space above columns 2, 3 and 4 respectively. These losses are to be set off</t>
  </si>
  <si>
    <t>against income under other heads in accordance with the provisions of section 71. The amount set off against the</t>
  </si>
  <si>
    <t>income of respective heads has to be entered into in columns 2, 3 and 4, in the relevant rows.</t>
  </si>
  <si>
    <t>(iii) Mention the end-result of the above inter-head set-off(s) in column 5, headwise, in relevant rows.</t>
  </si>
  <si>
    <t>(iv) Total of loss set off out of columns 2, 3 and 4 have to be entered into row vii.</t>
  </si>
  <si>
    <t>(v) The losses remaining for set off have to be entered in row viii.</t>
  </si>
  <si>
    <t>(i) Mention only positive incomes of the current year (after set-off of loss in Schedule-CYLA in column 1, headwise</t>
  </si>
  <si>
    <t>in relevant rows.</t>
  </si>
  <si>
    <t>(ii) The amount of brought forward losses which may be set off are to be entered in column 2 in respective rows.</t>
  </si>
  <si>
    <t>(iii) The end result of the set off will be entered in column 3 in respective heads. The total of column 3 shall be</t>
  </si>
  <si>
    <t>entered in row viii which shall give the amount of gross total income.</t>
  </si>
  <si>
    <t>(iv) The total amount of brought forward losses set off during the year shall be entered in column 2 of row vii.</t>
  </si>
  <si>
    <t>CFL</t>
  </si>
  <si>
    <t>(i) In this Schedule, the summary of losses carried from earlier years, set off during the year and to be carried</t>
  </si>
  <si>
    <t>forward for set off against income of future years is to be entered.</t>
  </si>
  <si>
    <t>80 C</t>
  </si>
  <si>
    <t>80 CCC</t>
  </si>
  <si>
    <t>80 D</t>
  </si>
  <si>
    <t>80 DD</t>
  </si>
  <si>
    <t>80 DDB</t>
  </si>
  <si>
    <t>80 E</t>
  </si>
  <si>
    <t>80 GG</t>
  </si>
  <si>
    <t>80 GGA</t>
  </si>
  <si>
    <t>80 GGC</t>
  </si>
  <si>
    <t>80 U</t>
  </si>
  <si>
    <t>Deductions under Chapter VI A (Section)</t>
  </si>
  <si>
    <t>Aggregate Income (5 + 6)</t>
  </si>
  <si>
    <t>(r) Schedule- 80G: Details of donation entitled for deduction under section 80G</t>
  </si>
  <si>
    <t>(s) Schedule- 80IA: Computation of deduction under section 80IA</t>
  </si>
  <si>
    <t>Flat / Door / Building</t>
  </si>
  <si>
    <t>Road / Street</t>
  </si>
  <si>
    <t>Income Tax Ward / Circle</t>
  </si>
  <si>
    <t>Income from Salary / Pension (Ensure to fill Sch TDS1)</t>
  </si>
  <si>
    <t>Income from one House Property</t>
  </si>
  <si>
    <t>Income from Other Sources (Ensure to fill Sch TDS2)</t>
  </si>
  <si>
    <t>m</t>
  </si>
  <si>
    <t>80 CCF</t>
  </si>
  <si>
    <t>(t) Schedule- 80IB: Computation of deduction under section 80IB</t>
  </si>
  <si>
    <t>(u) Schedule- 80IC: Computation of deduction under section 80IC</t>
  </si>
  <si>
    <t>(v) Schedule-VIA: Statement of deductions (from total income) under Chapter VIA.</t>
  </si>
  <si>
    <t>(w) Schedule-STTR: Computation of rebate under section 88E</t>
  </si>
  <si>
    <t>(x) Schedule-SI: Statement of income which is chargeable to tax at special rates</t>
  </si>
  <si>
    <t>(y) Schedule-EI: Statement of Income not included in total income (exempt incomes)</t>
  </si>
  <si>
    <t>(z) Schedule-MAT: Computation of Minimum Alternate Tax payable under section 115JB</t>
  </si>
  <si>
    <t>(aa) Schedule-MATC: Computation of tax credit under section 115JAA</t>
  </si>
  <si>
    <t>(bb) Schedule-DDT: Details of payment of Dividend Distribution Tax</t>
  </si>
  <si>
    <t>(cc) Schedule-FBI: Information regarding calculation of value of fringe benefits</t>
  </si>
  <si>
    <t>(dd) Schedule-FB: Computation of value of fringe benefits</t>
  </si>
  <si>
    <t>(ee) Schedule-IT: Statement of payment of advance-tax and tax on self-assessment.</t>
  </si>
  <si>
    <t>(ff) Schedule-TDS2: Statement of tax deducted at source on income other than salary.</t>
  </si>
  <si>
    <t>(gg) Schedule-TCS: Statement of tax collected at source</t>
  </si>
  <si>
    <t>(hh) Schedule-FBT: Statement of payment of Fringe Benefit Tax</t>
  </si>
  <si>
    <t>(ii) Schedule-DDTP: Details of payment of Dividend Distribution Tax</t>
  </si>
  <si>
    <t>12. GUIDANCE FOR FILLING OUT PARTS AND SCHEDULES</t>
  </si>
  <si>
    <t>(1) General</t>
  </si>
  <si>
    <t>(i) All items must be filled in the manner indicated therein; otherwise the return maybe liable to be held defective or</t>
  </si>
  <si>
    <t>even invalid.</t>
  </si>
  <si>
    <t>(ii) If any schedule is not applicable , you may leave it as it is without filling any details.</t>
  </si>
  <si>
    <t>(iii) If any item is inapplicable, leave it blank.</t>
  </si>
  <si>
    <t>(iv) Write 0 to denote zero values.</t>
  </si>
  <si>
    <t>SI.No</t>
  </si>
  <si>
    <t>(v) Except as provided in the form, for a negative figure/ figure of loss, write “-” before such figure.</t>
  </si>
  <si>
    <t>(vi) All figures should be rounded off to the nearest one rupee. However, the figures for total income/ loss and tax</t>
  </si>
  <si>
    <t>payable be finally rounded off to the nearest multiple of ten rupees.</t>
  </si>
  <si>
    <t>Pre XML Checks</t>
  </si>
  <si>
    <t>Sheet</t>
  </si>
  <si>
    <t>Schedule</t>
  </si>
  <si>
    <t>What is checked</t>
  </si>
  <si>
    <t>NATUREOFBUSINESS</t>
  </si>
  <si>
    <t>Natureofbusiness</t>
  </si>
  <si>
    <t>code&lt;&gt;0 (one entry compulsory)</t>
  </si>
  <si>
    <t>Total of Other Income &lt;&gt;0</t>
  </si>
  <si>
    <t>Total depreciation (10+11+12+13) &lt;&gt; 0</t>
  </si>
  <si>
    <t>Total depreciation (10+11+12+13)&lt; &gt; 0</t>
  </si>
  <si>
    <t>Total</t>
  </si>
  <si>
    <t>Sum(TotalLongTermCG+TotalShortTermCG)&lt;&gt;0</t>
  </si>
  <si>
    <t>Income Chargeable under  the head</t>
  </si>
  <si>
    <t>CYLA_BFLA</t>
  </si>
  <si>
    <t>Total bf loss set-off &lt;&gt; 0</t>
  </si>
  <si>
    <t>Total loss carried forward (last row) &lt;&gt;0</t>
  </si>
  <si>
    <t>Schedule 80 IA</t>
  </si>
  <si>
    <t>Total &lt;&gt;0</t>
  </si>
  <si>
    <t>Schedule 80 IB</t>
  </si>
  <si>
    <t>Schedule 80 IC</t>
  </si>
  <si>
    <t>Rebate under section 88E,lower of (2) and (3) &lt;&gt;0</t>
  </si>
  <si>
    <t>EI</t>
  </si>
  <si>
    <t>Schedule EI</t>
  </si>
  <si>
    <t>Total&lt;&gt;0</t>
  </si>
  <si>
    <t>FBI</t>
  </si>
  <si>
    <t>Schedule FBI</t>
  </si>
  <si>
    <t>Total number of employees&lt;&gt;0</t>
  </si>
  <si>
    <t>Schedule FB</t>
  </si>
  <si>
    <t>Value of fringe benefits&lt;&gt;0</t>
  </si>
  <si>
    <t>Select Yes  if you want your refund by direct  deposit into your bank account, Select No if you want refund by Cheque</t>
  </si>
  <si>
    <t>80G</t>
  </si>
  <si>
    <t>Amount (Rs)</t>
  </si>
  <si>
    <t>a</t>
  </si>
  <si>
    <t>b</t>
  </si>
  <si>
    <t>i</t>
  </si>
  <si>
    <t>c</t>
  </si>
  <si>
    <t>INCOME &amp; DEDUCTIONS</t>
  </si>
  <si>
    <t>Surcharge on 9a</t>
  </si>
  <si>
    <t>Relief under Section 89</t>
  </si>
  <si>
    <t>Relief under Section 90/91</t>
  </si>
  <si>
    <t>TAX COMPUTATION</t>
  </si>
  <si>
    <t>13a</t>
  </si>
  <si>
    <t>For Office Use Only</t>
  </si>
  <si>
    <t>(C) Section 80GGC (Deduction in respect of contributions given by any person to political parties)</t>
  </si>
  <si>
    <t>(D) Section 80JJA (Deduction in respect and gains from business of collecting and processing of biodegradable</t>
  </si>
  <si>
    <t>waste)</t>
  </si>
  <si>
    <t>(E) Section 80LA (Deduction in respect of certain incomes of Offshore Banking Units and International</t>
  </si>
  <si>
    <t>Financial services Centre).</t>
  </si>
  <si>
    <t>Schedule STTC</t>
  </si>
  <si>
    <t>(i) Section 88E provides for rebate of securities transaction tax (STT) paid on the transactions chargeable to STT</t>
  </si>
  <si>
    <t>which have been entered into by the assessee in the course of business activities.</t>
  </si>
  <si>
    <t>(ii) The rebate is restricted to the amount of income tax computed on average rate of tax on the profit arising from</t>
  </si>
  <si>
    <t>such transactions which is included in total income.</t>
  </si>
  <si>
    <t>(iii) Please note that no rebate is available in respect of STT paid on the transactions which give rise to long term/</t>
  </si>
  <si>
    <t>short term capital gain.</t>
  </si>
  <si>
    <t>13b</t>
  </si>
  <si>
    <t>13c</t>
  </si>
  <si>
    <t>(iv) The rebate under this section be claimed as computed in Form No.10DB and Form No.10DC in accordance with</t>
  </si>
  <si>
    <t>rule 20AB.</t>
  </si>
  <si>
    <t>SI</t>
  </si>
  <si>
    <t xml:space="preserve">Schedule-SI,- Mention the income included in total income which is chargeable to tax at special rates. </t>
  </si>
  <si>
    <t>(iii) In Schedule SI, the codes for the sections which prescribed special rates of tax for the income mentioned therein are as under:-</t>
  </si>
  <si>
    <t>Sl. No.</t>
  </si>
  <si>
    <t>Section code</t>
  </si>
  <si>
    <t>Nature of income</t>
  </si>
  <si>
    <t>Section</t>
  </si>
  <si>
    <t>Rate of tax</t>
  </si>
  <si>
    <t>Tax on accumulated balance of recognised provident fund</t>
  </si>
  <si>
    <t xml:space="preserve">To be computed in accordance with rule 9(1) of Part A of fourth Schedule </t>
  </si>
  <si>
    <t>1A</t>
  </si>
  <si>
    <t>Short term capital gains</t>
  </si>
  <si>
    <t>111A</t>
  </si>
  <si>
    <t>Long term capital gains (with indexing)</t>
  </si>
  <si>
    <t>Long term capital gains (without indexing)</t>
  </si>
  <si>
    <t>5A1a</t>
  </si>
  <si>
    <t>Dividends, interest and income from units purchase in foreign currency</t>
  </si>
  <si>
    <t>115A(1)(a)</t>
  </si>
  <si>
    <t>FA</t>
  </si>
  <si>
    <t>Income from royalty or technical services where agreement entered between 31.3.1961 to 31.3.1976 in case of royalty and between 29.2.1964 and 31.3.1976, and agreement is approved by the Central Government.</t>
  </si>
  <si>
    <t>Paragraph EII of Part I of first schedule of Finance Act</t>
  </si>
  <si>
    <t>5A1b1</t>
  </si>
  <si>
    <t>Income from royalty &amp; technical services</t>
  </si>
  <si>
    <r>
      <t xml:space="preserve">115A(1)(b) </t>
    </r>
    <r>
      <rPr>
        <i/>
        <sz val="10"/>
        <rFont val="Times New Roman"/>
        <family val="1"/>
      </rPr>
      <t xml:space="preserve">if agreement is entered on or before 31.5.1997 </t>
    </r>
  </si>
  <si>
    <t>5A1b2</t>
  </si>
  <si>
    <r>
      <t xml:space="preserve">115A(1)(b) </t>
    </r>
    <r>
      <rPr>
        <i/>
        <sz val="10"/>
        <rFont val="Times New Roman"/>
        <family val="1"/>
      </rPr>
      <t xml:space="preserve">if agreement is entered on or after  31.5.1997 but before 1.6.2005 </t>
    </r>
  </si>
  <si>
    <t>5A1b3</t>
  </si>
  <si>
    <r>
      <t>115A(1)(b)</t>
    </r>
    <r>
      <rPr>
        <i/>
        <sz val="10"/>
        <rFont val="Times New Roman"/>
        <family val="1"/>
      </rPr>
      <t xml:space="preserve">if agreement is on or after 1.6.2005 </t>
    </r>
  </si>
  <si>
    <t>5AB1a</t>
  </si>
  <si>
    <t>Income received in respect of units purchase in foreign currency by a off-shore fund</t>
  </si>
  <si>
    <t>115AB(1)(a)</t>
  </si>
  <si>
    <t>5AB1b</t>
  </si>
  <si>
    <t>Income by way of long-term capital gains arising from the transfer of units purchase in foreign currency by a off-shore fund</t>
  </si>
  <si>
    <t>115AB(1)(b)</t>
  </si>
  <si>
    <t>5AC</t>
  </si>
  <si>
    <t>Income from bonds or GDR purchases in foreign currency or capital gains arising from their transfer in case of a non-resident</t>
  </si>
  <si>
    <t>115AC(1)</t>
  </si>
  <si>
    <t>Donations (A + B + C + D)</t>
  </si>
  <si>
    <t>5ACA</t>
  </si>
  <si>
    <t>Income from GDR purchased in foreign currency or capital gains arising from their transfer in case of a resident</t>
  </si>
  <si>
    <t>115ACA(1)</t>
  </si>
  <si>
    <t>5B</t>
  </si>
  <si>
    <t>(vi) In item 7, any expenditure incurred for fulfilling any statutory obligation or mitigating occupational</t>
  </si>
  <si>
    <t>hazards, as referred to in Explanation to clause (E) of sub-section (2) of section 115WB shall not be</t>
  </si>
  <si>
    <t>included in column (ii).</t>
  </si>
  <si>
    <t>(vii) Column iii provides the percentage at which value of fringe benefits as provided in section 115WC on</t>
  </si>
  <si>
    <t>the basis of amount entered in column ii has to be computed.</t>
  </si>
  <si>
    <t>(viii) The value of fringe benefit for each item to be entered in column iv shall be equal to the amount filled</t>
  </si>
  <si>
    <t>in column ii as multiplied by the percentage shown in column iii and as divided by 100.</t>
  </si>
  <si>
    <t>IT_TDS_TCS_FBT</t>
  </si>
  <si>
    <t>Schedule-IT,- In this Schedule, fill the details of payment of advance income-tax and income-tax on self-assessment. The</t>
  </si>
  <si>
    <t>details of BSR Code of the bank branch (7 digits), date of deposit, challan serial no., and amount paid should be filled out</t>
  </si>
  <si>
    <t>from the acknowledgement counterfoil.</t>
  </si>
  <si>
    <t>(aa) Schedules- TDS2,- In this Schedule fill the details of tax deducted on the basis of TDS certificates (Form 16 or Form</t>
  </si>
  <si>
    <t>No.16A) issued by the deductor(s). Details of each certificate are to be filled separately in the rows. In case rows provided in</t>
  </si>
  <si>
    <t>these Schedules are not sufficient, please attach a table in same format. It may please be noted that the TDS certificates are</t>
  </si>
  <si>
    <t>not to be annexed with the Return Form.</t>
  </si>
  <si>
    <t>(bb) Schedule TCS,- In this Schedule, fill the details of tax collected at source on the basis of TCS certificates (Form No. 26)</t>
  </si>
  <si>
    <t>issued by the Collector. In case rows provided in these Schedules are not sufficient, please attach a table in same format. It</t>
  </si>
  <si>
    <t>may please be noted that the TDS certificates are not to be annexed with the Return Form.</t>
  </si>
  <si>
    <t>(cc) Schedule-FBT,- In this Schedule, fill the details of payment of fringe benefit tax by way of advance tax and on selfassessment.</t>
  </si>
  <si>
    <t>The details of BSR Code of the bank branch (7 digits), date of deposit, challan serial no., and amount paid should</t>
  </si>
  <si>
    <t>be filled out from the acknowledgement counterfoil</t>
  </si>
  <si>
    <t>(dd) Schedule-DDTP: In this Schedule, fill the details of payment of dividend distribution tax . The details of BSR Code of the</t>
  </si>
  <si>
    <t>bank branch (7 digits), date of deposit, challan serial no., and amount paid should be filled out from the acknowledgement</t>
  </si>
  <si>
    <t>counterfoil</t>
  </si>
  <si>
    <t>Schedule DDT: The principal officer of the company is liable to pay the tax on distributed profits to the credit of the</t>
  </si>
  <si>
    <t>Central Government within 14 days from the date of declaration of any dividend or distribution of any dividend or payment</t>
  </si>
  <si>
    <t>of any dividend, whichever is earliest. Please note that simple interest is chargeable under section 115P at the rate of 1% of</t>
  </si>
  <si>
    <t>delay for every month or part thereof in payment of the tax on distributed profits to the credit of the Central Government.</t>
  </si>
  <si>
    <t>General Instructions for filling in the form</t>
  </si>
  <si>
    <t>Instructions for filling up ITR-6</t>
  </si>
  <si>
    <t>A</t>
  </si>
  <si>
    <t>1. Legal status of instructions</t>
  </si>
  <si>
    <t>These instructions though stated to be non-statutory, may be taken as guidelines for filling the particulars in this Form. In case of any doubt,</t>
  </si>
  <si>
    <t>System Calculated</t>
  </si>
  <si>
    <t>please refer to relevant provisions of the Income-tax Act, 1961 and the Income-tax Rules, 1962.</t>
  </si>
  <si>
    <t>2. Assessment Year for which this Form is applicable</t>
  </si>
  <si>
    <t>This Form is applicable for assessment year 2007-2008 only.</t>
  </si>
  <si>
    <t>3. Who can use this Form</t>
  </si>
  <si>
    <t>This Form can be used by a company, other than a company claiming exemption under section 11</t>
  </si>
  <si>
    <t>4. Annexure-less Form</t>
  </si>
  <si>
    <t>GOV</t>
  </si>
  <si>
    <t>PSU</t>
  </si>
  <si>
    <t>No document (including TDS/ TCS certificate, report of audit) should be attached to this form. Official receiving the return</t>
  </si>
  <si>
    <t>has been instructed to detach all documents enclosed with this form and return the same to the assessee.</t>
  </si>
  <si>
    <t>16 - u/s 153C r/w 153A</t>
  </si>
  <si>
    <t>15 - u/s 153A</t>
  </si>
  <si>
    <t>5. Manner of filing this Form</t>
  </si>
  <si>
    <t>This Form has to be compulsorily furnished to the Income Tax Department in any of the following manners:-</t>
  </si>
  <si>
    <t>(i) furnishing the return electronically under digital signature;</t>
  </si>
  <si>
    <t>(ii) transmitting the data in the return electronically and thereafter submitting the verification of the return</t>
  </si>
  <si>
    <t>in Form ITR-V;</t>
  </si>
  <si>
    <t>Where the form is furnished in the manner mentioned at 5(ii), you need to print out two copies of Form ITR-V. Both copies</t>
  </si>
  <si>
    <t>should be verified by the assessee and submitted to the Income-tax Department. The receiving official shall return one copy</t>
  </si>
  <si>
    <t>after affixing the stamp and seal.</t>
  </si>
  <si>
    <t>6. Filling out the acknowledgement</t>
  </si>
  <si>
    <t>Where the form is furnished in the manner mentioned at 5(i), acknowledgement slip attached with this Form should be duly</t>
  </si>
  <si>
    <t>filled out.</t>
  </si>
  <si>
    <t>7. Form not to be filled in duplicate</t>
  </si>
  <si>
    <t>This form is not required to be filed in duplicate.</t>
  </si>
  <si>
    <t>Deducted Year</t>
  </si>
  <si>
    <t>8. Intimation of processing under section 143(1)/115WE(1)</t>
  </si>
  <si>
    <t>The acknowledgement of the return is deemed to be the intimation of processing under section 143(1)/115WE(1). No</t>
  </si>
  <si>
    <t>separate intimation will be sent to the taxpayer unless there is a demand or refund.</t>
  </si>
  <si>
    <t>B</t>
  </si>
  <si>
    <t>(1) Computation of total income</t>
  </si>
  <si>
    <t>Serial No</t>
  </si>
  <si>
    <t>(A)</t>
  </si>
  <si>
    <t xml:space="preserve"> Period of holding (as full months)</t>
  </si>
  <si>
    <t>(B)</t>
  </si>
  <si>
    <t>Deemed Income</t>
  </si>
  <si>
    <t>( C) = (A)*(B)</t>
  </si>
  <si>
    <t xml:space="preserve">Calculation of Profits and gains of Business 
of plying,hiring,or leasing goods carriages u/s 44AE </t>
  </si>
  <si>
    <t>1) Heavy Vehicles</t>
  </si>
  <si>
    <t>Total : Presumptive Income From Heavy Vehicles (E3 in Sheet NOB_BP)</t>
  </si>
  <si>
    <t>2) Light Vehicles</t>
  </si>
  <si>
    <t>Total : Presumptive Income From Light Vehicles (E4 in Sheet NOB_BP)</t>
  </si>
  <si>
    <t>GRAND TOTAL (E5 in Sheet NOB_BP)</t>
  </si>
  <si>
    <t>(a) “Previous year” is the financial year (1st April to the following 31st March) during which the income in question has been</t>
  </si>
  <si>
    <t>earned. “Assessment Year” is the financial year immediately following the previous year.</t>
  </si>
  <si>
    <t>(b) Total income is to be computed as follows, in the following order:</t>
  </si>
  <si>
    <t>(i) Classify all items of income under the following heads of income-</t>
  </si>
  <si>
    <t>(A) Salaries; (B) “Income from house property”; (C) “Profit and gains from business or profession”; (D) “Capital</t>
  </si>
  <si>
    <t>gains”; and (E) “Income from other sources”. [There may be no income under one or more of the heads at (A),</t>
  </si>
  <si>
    <t>(B), (D) and (E)].</t>
  </si>
  <si>
    <t>Gross Total Income (1+2+3+4)</t>
  </si>
  <si>
    <t xml:space="preserve">TDS </t>
  </si>
  <si>
    <t>TDS2</t>
  </si>
  <si>
    <r>
      <rPr>
        <b/>
        <sz val="12"/>
        <rFont val="Times New Roman"/>
        <family val="1"/>
      </rPr>
      <t>[PRESUMPTIVE BUSINESS INCOME TAX RETURN]</t>
    </r>
    <r>
      <rPr>
        <b/>
        <sz val="10"/>
        <rFont val="Times New Roman"/>
        <family val="1"/>
      </rPr>
      <t xml:space="preserve">
</t>
    </r>
  </si>
  <si>
    <t xml:space="preserve"> Period of holding (in months)</t>
  </si>
  <si>
    <t>If u/s 139(9)-defective return , enter Original Ack  No</t>
  </si>
  <si>
    <t xml:space="preserve">If revised, enter Original Ack no / Date </t>
  </si>
  <si>
    <t>NOR - Resident but not Ordinarily Resident</t>
  </si>
  <si>
    <t>If u/s 139(9)-defective return , enter Notice  No (Enter the full No beginning with CPC/ )</t>
  </si>
  <si>
    <t xml:space="preserve">I, </t>
  </si>
  <si>
    <t>Area / Locality</t>
  </si>
  <si>
    <r>
      <t xml:space="preserve">Assessment 
Year
</t>
    </r>
    <r>
      <rPr>
        <b/>
        <sz val="15"/>
        <rFont val="Times New Roman"/>
        <family val="1"/>
      </rPr>
      <t>2 0 1 3 - 1 4</t>
    </r>
  </si>
  <si>
    <t>Date of birth</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</si>
  <si>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</si>
  <si>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</si>
  <si>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</si>
  <si>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</si>
  <si>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</si>
  <si>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</si>
  <si>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</si>
  <si>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</si>
  <si>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</si>
  <si>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</si>
  <si>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</si>
  <si>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</si>
  <si>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</si>
  <si>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</si>
  <si>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</si>
  <si>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</si>
  <si>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</si>
  <si>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</si>
  <si>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</si>
  <si>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</si>
  <si>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</si>
  <si>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 xml:space="preserve">591-BOLIVIA </t>
  </si>
  <si>
    <t>387-BOSNIA AND HERZEGOVINA</t>
  </si>
  <si>
    <t>267-BOTSWANA</t>
  </si>
  <si>
    <t>55-BRAZIL</t>
  </si>
  <si>
    <t>673-BRUNEI DARUSSALAM</t>
  </si>
  <si>
    <t>359-BULGARIA</t>
  </si>
  <si>
    <t>226-BURKINA FASO</t>
  </si>
  <si>
    <t>257-BURUNDI</t>
  </si>
  <si>
    <t>855-CAMBODIA</t>
  </si>
  <si>
    <t>237-CAMEROON</t>
  </si>
  <si>
    <t>1-CANADA</t>
  </si>
  <si>
    <t>238-CAPE VERDE</t>
  </si>
  <si>
    <t>236-CENTRAL AFRICAN REPUBLIC</t>
  </si>
  <si>
    <t>235-CHAD</t>
  </si>
  <si>
    <t>56-CHILE</t>
  </si>
  <si>
    <t>86-CHINA</t>
  </si>
  <si>
    <t>57-COLOMBIA</t>
  </si>
  <si>
    <t>270-COMOROS</t>
  </si>
  <si>
    <t>242-CONGO, REPUBLIC OF THE...</t>
  </si>
  <si>
    <t>506-COSTA RICA</t>
  </si>
  <si>
    <t>225-CÔTE D'IVOIRE (IVORY COAST)</t>
  </si>
  <si>
    <t>385-CROATIA</t>
  </si>
  <si>
    <t>53-CUBA</t>
  </si>
  <si>
    <t>357-CYPRUS</t>
  </si>
  <si>
    <t>420-CZECH REPUBLIC</t>
  </si>
  <si>
    <t>850-DEMOCRATIC PEOPLE'S REPUBLIC OF KOREA (NORTH KOREA)</t>
  </si>
  <si>
    <t>243-DEMOCRATIC REPUBLIC OF THE CONGO</t>
  </si>
  <si>
    <t>45-DENMARK</t>
  </si>
  <si>
    <t>253-DJIBOUTI</t>
  </si>
  <si>
    <t>1767-DOMINICA</t>
  </si>
  <si>
    <t>1809-DOMINICAN REPUBLIC</t>
  </si>
  <si>
    <t>593-ECUADOR</t>
  </si>
  <si>
    <t>20-EGYPT</t>
  </si>
  <si>
    <t>503-EL SALVADOR</t>
  </si>
  <si>
    <t>240-EQUATORIAL GUINEA</t>
  </si>
  <si>
    <t>291-ERITREA</t>
  </si>
  <si>
    <t>372-ESTONIA</t>
  </si>
  <si>
    <t>251-ETHIOPIA</t>
  </si>
  <si>
    <t>679-FIJI ISLANDS</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</si>
  <si>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</si>
  <si>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</si>
  <si>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</si>
  <si>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</si>
  <si>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</si>
  <si>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</si>
  <si>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</si>
  <si>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</si>
  <si>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</si>
  <si>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</si>
  <si>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</si>
  <si>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</si>
  <si>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</si>
  <si>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</si>
  <si>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</si>
  <si>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</si>
  <si>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</si>
  <si>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62-INDONESIA</t>
  </si>
  <si>
    <t>98-IRAN</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</si>
  <si>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</si>
  <si>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</si>
  <si>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</si>
  <si>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</si>
  <si>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</si>
  <si>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</si>
  <si>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</si>
  <si>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</si>
  <si>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</si>
  <si>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</si>
  <si>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</si>
  <si>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</si>
  <si>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</si>
  <si>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</si>
  <si>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</si>
  <si>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</si>
  <si>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</si>
  <si>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</si>
  <si>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</si>
  <si>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</si>
  <si>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</si>
  <si>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389-MACEDONIA</t>
  </si>
  <si>
    <t>261-MADAGASCAR</t>
  </si>
  <si>
    <t>265-MALAWI</t>
  </si>
  <si>
    <t>60-MALAYSIA</t>
  </si>
  <si>
    <t>960-MALDIVES</t>
  </si>
  <si>
    <t>223-MALI</t>
  </si>
  <si>
    <t>356-MALTA</t>
  </si>
  <si>
    <t>692-MARSHALL ISLANDS</t>
  </si>
  <si>
    <t>222-MAURITANIA</t>
  </si>
  <si>
    <t>230-MAURITIUS</t>
  </si>
  <si>
    <t>52-MEXICO</t>
  </si>
  <si>
    <t>691-MICRONESIA, FEDERATED STATES OF...</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</si>
  <si>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</si>
  <si>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</si>
  <si>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</si>
  <si>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</si>
  <si>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</si>
  <si>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</si>
  <si>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</si>
  <si>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</si>
  <si>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</si>
  <si>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</si>
  <si>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</si>
  <si>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</si>
  <si>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</si>
  <si>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</si>
  <si>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</si>
  <si>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</si>
  <si>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</si>
  <si>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</si>
  <si>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</si>
  <si>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</si>
  <si>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</si>
  <si>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</si>
  <si>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</si>
  <si>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</si>
  <si>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</si>
  <si>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</si>
  <si>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82-REPUBLIC OF KOREA (SOUTH KOREA)</t>
  </si>
  <si>
    <t>373-REPUBLIC OF MOLDOVA</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</si>
  <si>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</si>
  <si>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</si>
  <si>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</si>
  <si>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</si>
  <si>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</si>
  <si>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</si>
  <si>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</si>
  <si>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</si>
  <si>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</si>
  <si>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</si>
  <si>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</si>
  <si>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</si>
  <si>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</si>
  <si>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</si>
  <si>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</si>
  <si>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</si>
  <si>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</si>
  <si>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</si>
  <si>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</si>
  <si>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</si>
  <si>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</si>
  <si>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</si>
  <si>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</si>
  <si>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</si>
  <si>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</si>
  <si>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</si>
  <si>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</si>
  <si>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</si>
  <si>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</si>
  <si>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</si>
  <si>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</si>
  <si>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670-TIMOR-LESTE</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</si>
  <si>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</si>
  <si>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</si>
  <si>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</si>
  <si>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</si>
  <si>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</si>
  <si>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</si>
  <si>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</si>
  <si>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</si>
  <si>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</si>
  <si>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</si>
  <si>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</si>
  <si>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255-UNITED REPUBLIC OF TANZANIA</t>
  </si>
  <si>
    <t>2-UNITED STATES OF AMERICA</t>
  </si>
  <si>
    <t>598-URUGUAY</t>
  </si>
  <si>
    <t>998-UZBEKISTAN</t>
  </si>
  <si>
    <t>678-VANUATU</t>
  </si>
  <si>
    <t>58-VENEZUELA, BOLIVARIAN REPUBLIC OF...</t>
  </si>
  <si>
    <t>84-VIETNAM</t>
  </si>
  <si>
    <t>967-YEMEN</t>
  </si>
  <si>
    <t>260-ZAMBIA</t>
  </si>
  <si>
    <t>263-ZIMBABWE</t>
  </si>
  <si>
    <t>9999-OTHERS</t>
  </si>
  <si>
    <t>(Select)</t>
  </si>
  <si>
    <t>Original / revised return?</t>
  </si>
  <si>
    <t>80 CCG</t>
  </si>
  <si>
    <t>80 RRB</t>
  </si>
  <si>
    <t>80 QQB</t>
  </si>
  <si>
    <t>80 TTA</t>
  </si>
  <si>
    <t>6n</t>
  </si>
  <si>
    <t>6o</t>
  </si>
  <si>
    <t>n</t>
  </si>
  <si>
    <t>Total Tax and Interest Payable (13 + 14)</t>
  </si>
  <si>
    <t>11-On or BeforeDueDt 139(1)</t>
  </si>
  <si>
    <t>Note : For E7 to E10 furnish the information as on 31st day of March, 2013</t>
  </si>
  <si>
    <t>IFSC Code</t>
  </si>
  <si>
    <t>Cash Credit</t>
  </si>
  <si>
    <t>solemnly declare that to the best of my knowledge and belief, the information given in the return thereto is correct and complete and that the amount of total income and other particulars shown therein are truly stated and are in accordance with the provisions of the Income-tax Act, 1961, in respect of income chargeable to Income-tax for the previous year relevant to the Assessment Year 2013-14</t>
  </si>
  <si>
    <t>Landline Phone number (Residence/Office)</t>
  </si>
  <si>
    <t>Mobile no 1</t>
  </si>
  <si>
    <t>Employer Category</t>
  </si>
  <si>
    <t>Mobile no 2</t>
  </si>
  <si>
    <t>Total Taxes Paid (16a+16b+16c+16d)</t>
  </si>
  <si>
    <t>Tax Payable (15-17) (if 15 is greater than 17)</t>
  </si>
  <si>
    <t>Refund (17-15) if 18 is greater than 15</t>
  </si>
  <si>
    <t>18 - u/s 139(9)</t>
  </si>
  <si>
    <t>17 - Revised 139(5)</t>
  </si>
  <si>
    <t>Balance Tax Payable (11 - 12 )</t>
  </si>
  <si>
    <r>
      <t>Donations entitled for 100% deduction without qualifying limit</t>
    </r>
    <r>
      <rPr>
        <b/>
        <sz val="10"/>
        <color indexed="10"/>
        <rFont val="Times New Roman"/>
        <family val="1"/>
      </rPr>
      <t xml:space="preserve"> ('IN CASE OF DONEE FUNDS SETUP BY GOVERNMENT AS DESCRIBED IN SECTION 80G(2), PLEASE USE PAN AS "GGGGG0000G".). </t>
    </r>
    <r>
      <rPr>
        <b/>
        <i/>
        <sz val="10"/>
        <color indexed="10"/>
        <rFont val="Times New Roman"/>
        <family val="1"/>
      </rPr>
      <t>If name of donee field is not entered then the entire row will not be considered</t>
    </r>
  </si>
  <si>
    <t>16a</t>
  </si>
  <si>
    <t>16b</t>
  </si>
  <si>
    <t>16c</t>
  </si>
  <si>
    <t>16d</t>
  </si>
  <si>
    <t>Are you Governed by Portugese Civil Code u/s 5A ?</t>
  </si>
  <si>
    <t>(2)
If no entry is made in this column, then columns (3) to (5) will not be considered for that row</t>
  </si>
  <si>
    <t>(2)
If no entry is made in this column, then columns (3) to (7) will not be considered for that row</t>
  </si>
  <si>
    <t>BSR Code
(1)
If no entry is made in this column, then columns (2) to (4) will not be considered for that row</t>
  </si>
  <si>
    <t>Date of Credit into Govt Account
(DD/MM/YYYY)
(2)</t>
  </si>
  <si>
    <t>Serial Number of
Challan
(3)</t>
  </si>
  <si>
    <t>Amount (Rs)
(4)</t>
  </si>
  <si>
    <t>Total Tax and Education Cess (Payable) (9 + 10)</t>
  </si>
  <si>
    <t>Deductions (Total of 6a to 6o)</t>
  </si>
  <si>
    <t>o</t>
  </si>
  <si>
    <t>91-INDIA</t>
  </si>
  <si>
    <t>1001 -Other Sector</t>
  </si>
  <si>
    <t>AJAY</t>
  </si>
  <si>
    <t>KUMAR</t>
  </si>
  <si>
    <t>AJAY  KUMAR</t>
  </si>
  <si>
    <t>AESPK0866J</t>
  </si>
  <si>
    <t>01/11/1967</t>
  </si>
  <si>
    <t>MUZAFFARNAGAR</t>
  </si>
  <si>
    <t>advocateatulag@gmail.com</t>
  </si>
  <si>
    <t>WARD-1(1)/MZR</t>
  </si>
  <si>
    <t>AJAY KUMAR</t>
  </si>
  <si>
    <t>MRTB00033F</t>
  </si>
  <si>
    <t>BHARAT SANCHAR NIGAM LTD</t>
  </si>
  <si>
    <t>MRTB00410E</t>
  </si>
  <si>
    <t>PTLB10141F</t>
  </si>
  <si>
    <t>MRTS02272E</t>
  </si>
  <si>
    <t>STATE BANK OF BIKANER AND JAIPUR NEW MANDI MUZAFFARNAGAR</t>
  </si>
  <si>
    <t>10880231043</t>
  </si>
  <si>
    <t>SBIN0000685</t>
  </si>
  <si>
    <t>SH.MOLHAD SINGH</t>
  </si>
  <si>
    <t>MUZAFFARNAGAR(U.P.)</t>
  </si>
  <si>
    <t>16-03-2014</t>
  </si>
  <si>
    <t>C/O ATUL KUMAR AGARWAL,155</t>
  </si>
  <si>
    <t>PATEL NAGAR</t>
  </si>
  <si>
    <t>NEW MANDI</t>
  </si>
  <si>
    <t>16/03/2014</t>
  </si>
</sst>
</file>

<file path=xl/styles.xml><?xml version="1.0" encoding="utf-8"?>
<styleSheet xmlns="http://schemas.openxmlformats.org/spreadsheetml/2006/main">
  <numFmts count="2">
    <numFmt numFmtId="43" formatCode="_(* #,##0.00_);_(* \(#,##0.00\);_(* &quot;-&quot;??_);_(@_)"/>
    <numFmt numFmtId="164" formatCode="_(* #,##0_);_(* \(#,##0\);_(* &quot;-&quot;??_);_(@_)"/>
  </numFmts>
  <fonts count="47">
    <font>
      <sz val="10"/>
      <name val="Arial"/>
    </font>
    <font>
      <sz val="10"/>
      <name val="Arial"/>
    </font>
    <font>
      <u/>
      <sz val="10"/>
      <color indexed="12"/>
      <name val="Arial"/>
      <family val="2"/>
    </font>
    <font>
      <b/>
      <sz val="10"/>
      <color indexed="9"/>
      <name val="Times New Roman"/>
      <family val="1"/>
    </font>
    <font>
      <b/>
      <sz val="10"/>
      <name val="Times New Roman"/>
      <family val="1"/>
    </font>
    <font>
      <sz val="10"/>
      <name val="Times New Roman"/>
      <family val="1"/>
    </font>
    <font>
      <b/>
      <sz val="14"/>
      <name val="Times New Roman"/>
      <family val="1"/>
    </font>
    <font>
      <b/>
      <sz val="12"/>
      <name val="Times New Roman"/>
      <family val="1"/>
    </font>
    <font>
      <b/>
      <sz val="10"/>
      <color indexed="10"/>
      <name val="Times New Roman"/>
      <family val="1"/>
    </font>
    <font>
      <i/>
      <sz val="10"/>
      <name val="Times New Roman"/>
      <family val="1"/>
    </font>
    <font>
      <sz val="10"/>
      <name val="Arial"/>
      <family val="2"/>
    </font>
    <font>
      <b/>
      <sz val="10"/>
      <color indexed="23"/>
      <name val="Times New Roman"/>
      <family val="1"/>
    </font>
    <font>
      <i/>
      <sz val="10"/>
      <color indexed="23"/>
      <name val="Times New Roman"/>
      <family val="1"/>
    </font>
    <font>
      <sz val="8"/>
      <name val="Arial"/>
      <family val="2"/>
    </font>
    <font>
      <b/>
      <sz val="10"/>
      <color indexed="48"/>
      <name val="Times New Roman"/>
      <family val="1"/>
    </font>
    <font>
      <sz val="10"/>
      <color indexed="48"/>
      <name val="Times New Roman"/>
      <family val="1"/>
    </font>
    <font>
      <sz val="8"/>
      <color indexed="81"/>
      <name val="Tahoma"/>
      <family val="2"/>
    </font>
    <font>
      <u/>
      <sz val="10"/>
      <color indexed="12"/>
      <name val="Times New Roman"/>
      <family val="1"/>
    </font>
    <font>
      <b/>
      <sz val="10"/>
      <color indexed="8"/>
      <name val="Times New Roman"/>
      <family val="1"/>
    </font>
    <font>
      <b/>
      <sz val="8"/>
      <color indexed="81"/>
      <name val="Times New Roman"/>
      <family val="1"/>
    </font>
    <font>
      <sz val="8"/>
      <color indexed="81"/>
      <name val="Times New Roman"/>
      <family val="1"/>
    </font>
    <font>
      <b/>
      <sz val="8"/>
      <color indexed="81"/>
      <name val="Tahoma"/>
      <family val="2"/>
    </font>
    <font>
      <sz val="10"/>
      <color indexed="8"/>
      <name val="Times New Roman"/>
      <family val="1"/>
    </font>
    <font>
      <sz val="10"/>
      <color indexed="10"/>
      <name val="Times New Roman"/>
      <family val="1"/>
    </font>
    <font>
      <sz val="10"/>
      <color indexed="23"/>
      <name val="Times New Roman"/>
      <family val="1"/>
    </font>
    <font>
      <b/>
      <sz val="8"/>
      <name val="Times New Roman"/>
      <family val="1"/>
    </font>
    <font>
      <b/>
      <i/>
      <sz val="10"/>
      <name val="Times New Roman"/>
      <family val="1"/>
    </font>
    <font>
      <sz val="10"/>
      <color indexed="22"/>
      <name val="Times New Roman"/>
      <family val="1"/>
    </font>
    <font>
      <b/>
      <sz val="16"/>
      <name val="Times New Roman"/>
      <family val="1"/>
    </font>
    <font>
      <sz val="10"/>
      <color indexed="12"/>
      <name val="Arial"/>
      <family val="2"/>
    </font>
    <font>
      <b/>
      <sz val="10"/>
      <color indexed="12"/>
      <name val="Times New Roman"/>
      <family val="1"/>
    </font>
    <font>
      <b/>
      <sz val="22"/>
      <color indexed="12"/>
      <name val="Times New Roman"/>
      <family val="1"/>
    </font>
    <font>
      <b/>
      <sz val="11"/>
      <name val="Times New Roman"/>
      <family val="1"/>
    </font>
    <font>
      <sz val="10"/>
      <color indexed="12"/>
      <name val="Times New Roman"/>
      <family val="1"/>
    </font>
    <font>
      <b/>
      <sz val="12"/>
      <color indexed="62"/>
      <name val="Times New Roman"/>
      <family val="1"/>
    </font>
    <font>
      <b/>
      <sz val="10"/>
      <color indexed="81"/>
      <name val="Tahoma"/>
      <family val="2"/>
    </font>
    <font>
      <sz val="10"/>
      <color indexed="81"/>
      <name val="Tahoma"/>
      <family val="2"/>
    </font>
    <font>
      <b/>
      <i/>
      <sz val="10"/>
      <color indexed="10"/>
      <name val="Times New Roman"/>
      <family val="1"/>
    </font>
    <font>
      <b/>
      <sz val="10"/>
      <name val="Arial"/>
      <family val="2"/>
    </font>
    <font>
      <b/>
      <sz val="15"/>
      <name val="Times New Roman"/>
      <family val="1"/>
    </font>
    <font>
      <sz val="11"/>
      <color indexed="8"/>
      <name val="Calibri"/>
      <family val="2"/>
    </font>
    <font>
      <b/>
      <sz val="10"/>
      <name val="Arial"/>
      <family val="2"/>
    </font>
    <font>
      <b/>
      <sz val="10"/>
      <color indexed="10"/>
      <name val="Arial"/>
      <family val="2"/>
    </font>
    <font>
      <b/>
      <sz val="10"/>
      <color indexed="12"/>
      <name val="Arial"/>
      <family val="2"/>
    </font>
    <font>
      <sz val="10"/>
      <color indexed="12"/>
      <name val="Arial"/>
      <family val="2"/>
    </font>
    <font>
      <b/>
      <sz val="8"/>
      <color indexed="81"/>
      <name val="Tahoma"/>
      <charset val="1"/>
    </font>
    <font>
      <b/>
      <sz val="10"/>
      <color rgb="FFFF0000"/>
      <name val="Times New Roman"/>
      <family val="1"/>
    </font>
  </fonts>
  <fills count="9">
    <fill>
      <patternFill patternType="none"/>
    </fill>
    <fill>
      <patternFill patternType="gray125"/>
    </fill>
    <fill>
      <patternFill patternType="solid">
        <fgColor indexed="8"/>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2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s>
  <cellStyleXfs count="4">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0" fontId="40" fillId="0" borderId="0"/>
  </cellStyleXfs>
  <cellXfs count="600">
    <xf numFmtId="0" fontId="0" fillId="0" borderId="0" xfId="0"/>
    <xf numFmtId="0" fontId="4" fillId="0" borderId="1" xfId="0" applyFont="1" applyBorder="1" applyAlignment="1">
      <alignment horizontal="center" vertical="top" wrapText="1"/>
    </xf>
    <xf numFmtId="0" fontId="4" fillId="0" borderId="1" xfId="0" applyFont="1" applyBorder="1" applyAlignment="1">
      <alignment vertical="top" wrapText="1"/>
    </xf>
    <xf numFmtId="0" fontId="4" fillId="0" borderId="1" xfId="0" applyFont="1" applyBorder="1" applyAlignment="1">
      <alignment horizontal="left" vertical="top" wrapText="1"/>
    </xf>
    <xf numFmtId="0" fontId="4" fillId="0" borderId="2" xfId="0" applyFont="1" applyBorder="1" applyAlignment="1">
      <alignment vertical="top" wrapText="1"/>
    </xf>
    <xf numFmtId="0" fontId="4" fillId="0" borderId="0" xfId="0" applyFont="1"/>
    <xf numFmtId="0" fontId="4" fillId="0" borderId="0" xfId="0" applyFont="1" applyAlignment="1">
      <alignment horizontal="center"/>
    </xf>
    <xf numFmtId="0" fontId="4" fillId="0" borderId="0" xfId="0" applyFont="1" applyAlignment="1">
      <alignment horizontal="left"/>
    </xf>
    <xf numFmtId="0" fontId="0" fillId="0" borderId="0" xfId="0" applyAlignment="1">
      <alignment horizontal="left"/>
    </xf>
    <xf numFmtId="0" fontId="4" fillId="0" borderId="3" xfId="0" applyFont="1" applyBorder="1" applyAlignment="1">
      <alignment vertical="top" wrapText="1"/>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4" fillId="0" borderId="0" xfId="0" applyFont="1" applyBorder="1"/>
    <xf numFmtId="0" fontId="4" fillId="0" borderId="0" xfId="0" applyFont="1" applyBorder="1" applyAlignment="1">
      <alignment horizontal="left"/>
    </xf>
    <xf numFmtId="0" fontId="5" fillId="0" borderId="0" xfId="0" applyFont="1" applyBorder="1" applyAlignment="1">
      <alignment horizontal="left" vertical="top" wrapText="1"/>
    </xf>
    <xf numFmtId="0" fontId="0" fillId="0" borderId="0" xfId="0" applyBorder="1"/>
    <xf numFmtId="0" fontId="5" fillId="0" borderId="4" xfId="0" applyFont="1" applyBorder="1" applyAlignment="1">
      <alignment horizontal="left" vertical="top" wrapText="1"/>
    </xf>
    <xf numFmtId="0" fontId="5" fillId="0" borderId="5" xfId="0" applyFont="1" applyBorder="1" applyAlignment="1">
      <alignment horizontal="left" vertical="top" wrapText="1"/>
    </xf>
    <xf numFmtId="0" fontId="0" fillId="0" borderId="6" xfId="0" applyBorder="1"/>
    <xf numFmtId="0" fontId="11" fillId="0" borderId="0" xfId="0" applyFont="1" applyBorder="1" applyAlignment="1"/>
    <xf numFmtId="0" fontId="5" fillId="0" borderId="0" xfId="0" applyFont="1" applyBorder="1" applyAlignment="1">
      <alignment vertical="center" textRotation="90"/>
    </xf>
    <xf numFmtId="0" fontId="14" fillId="0" borderId="1" xfId="0" applyFont="1" applyBorder="1" applyAlignment="1">
      <alignment vertical="top" wrapText="1"/>
    </xf>
    <xf numFmtId="0" fontId="3" fillId="2" borderId="1" xfId="0" applyFont="1" applyFill="1" applyBorder="1" applyAlignment="1">
      <alignment horizontal="center" wrapText="1"/>
    </xf>
    <xf numFmtId="0" fontId="4" fillId="0" borderId="1" xfId="0" applyNumberFormat="1" applyFont="1" applyBorder="1" applyAlignment="1">
      <alignment horizontal="center" wrapText="1"/>
    </xf>
    <xf numFmtId="0" fontId="4" fillId="0" borderId="1" xfId="0" applyFont="1" applyBorder="1" applyAlignment="1">
      <alignment horizontal="center" wrapText="1"/>
    </xf>
    <xf numFmtId="0" fontId="0" fillId="0" borderId="0" xfId="0" applyBorder="1" applyAlignment="1">
      <alignment horizontal="left"/>
    </xf>
    <xf numFmtId="0" fontId="0" fillId="0" borderId="4" xfId="0" applyBorder="1"/>
    <xf numFmtId="0" fontId="14" fillId="0" borderId="1" xfId="0" applyFont="1" applyBorder="1" applyAlignment="1">
      <alignment horizontal="center" vertical="top" wrapText="1"/>
    </xf>
    <xf numFmtId="0" fontId="14" fillId="0" borderId="2" xfId="0" applyFont="1" applyBorder="1" applyAlignment="1">
      <alignment horizontal="center" vertical="top" wrapText="1"/>
    </xf>
    <xf numFmtId="0" fontId="5" fillId="3" borderId="1" xfId="0" applyFont="1" applyFill="1" applyBorder="1" applyAlignment="1" applyProtection="1">
      <alignment horizontal="left" vertical="top" wrapText="1"/>
      <protection locked="0"/>
    </xf>
    <xf numFmtId="0" fontId="5" fillId="0" borderId="5" xfId="0" applyFont="1" applyFill="1" applyBorder="1" applyAlignment="1" applyProtection="1">
      <alignment horizontal="left" vertical="top" wrapText="1"/>
    </xf>
    <xf numFmtId="49" fontId="5" fillId="0" borderId="4" xfId="0" applyNumberFormat="1" applyFont="1" applyFill="1" applyBorder="1" applyAlignment="1" applyProtection="1">
      <alignment horizontal="left" vertical="top" wrapText="1"/>
    </xf>
    <xf numFmtId="0" fontId="4" fillId="4" borderId="7" xfId="0" applyFont="1" applyFill="1" applyBorder="1" applyAlignment="1">
      <alignment horizontal="center" vertical="top" wrapText="1"/>
    </xf>
    <xf numFmtId="0" fontId="4" fillId="4" borderId="8" xfId="0" applyFont="1" applyFill="1" applyBorder="1" applyAlignment="1">
      <alignment vertical="top" wrapText="1"/>
    </xf>
    <xf numFmtId="0" fontId="4" fillId="4" borderId="9" xfId="0" applyFont="1" applyFill="1" applyBorder="1" applyAlignment="1">
      <alignment horizontal="center" vertical="top" wrapText="1"/>
    </xf>
    <xf numFmtId="0" fontId="4" fillId="4" borderId="10" xfId="0" applyFont="1" applyFill="1" applyBorder="1" applyAlignment="1">
      <alignment vertical="top" wrapText="1"/>
    </xf>
    <xf numFmtId="0" fontId="4" fillId="4" borderId="5" xfId="0" applyFont="1" applyFill="1" applyBorder="1" applyAlignment="1">
      <alignment horizontal="left" vertical="top" wrapText="1"/>
    </xf>
    <xf numFmtId="0" fontId="4" fillId="4" borderId="4" xfId="0" applyFont="1" applyFill="1" applyBorder="1" applyAlignment="1">
      <alignment horizontal="left" vertical="top" wrapText="1"/>
    </xf>
    <xf numFmtId="0" fontId="4" fillId="0" borderId="11" xfId="0" applyFont="1" applyBorder="1" applyAlignment="1">
      <alignment horizontal="center" wrapText="1"/>
    </xf>
    <xf numFmtId="0" fontId="4" fillId="0" borderId="11" xfId="0" applyFont="1" applyBorder="1" applyAlignment="1">
      <alignment horizontal="center"/>
    </xf>
    <xf numFmtId="0" fontId="4" fillId="0" borderId="1" xfId="0" applyFont="1" applyBorder="1" applyAlignment="1"/>
    <xf numFmtId="0" fontId="4" fillId="0" borderId="1" xfId="0" applyFont="1" applyBorder="1"/>
    <xf numFmtId="0" fontId="4" fillId="0" borderId="12" xfId="0" applyFont="1" applyBorder="1" applyAlignment="1"/>
    <xf numFmtId="0" fontId="4" fillId="0" borderId="6" xfId="0" applyFont="1" applyBorder="1" applyAlignment="1"/>
    <xf numFmtId="49" fontId="4" fillId="0" borderId="1" xfId="0" applyNumberFormat="1" applyFont="1" applyBorder="1" applyAlignment="1">
      <alignment horizontal="center"/>
    </xf>
    <xf numFmtId="49" fontId="4"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xf>
    <xf numFmtId="0" fontId="5" fillId="3" borderId="11" xfId="0" applyFont="1" applyFill="1" applyBorder="1" applyAlignment="1" applyProtection="1">
      <alignment horizontal="left" vertical="top" wrapText="1"/>
      <protection locked="0"/>
    </xf>
    <xf numFmtId="49" fontId="5" fillId="3" borderId="1" xfId="0" applyNumberFormat="1" applyFont="1" applyFill="1" applyBorder="1" applyAlignment="1" applyProtection="1">
      <alignment horizontal="right" vertical="top" wrapText="1"/>
      <protection locked="0"/>
    </xf>
    <xf numFmtId="0" fontId="5" fillId="0" borderId="1" xfId="0" applyFont="1" applyBorder="1"/>
    <xf numFmtId="0" fontId="5" fillId="0" borderId="3" xfId="0" applyFont="1" applyBorder="1"/>
    <xf numFmtId="0" fontId="5" fillId="0" borderId="0" xfId="0" applyFont="1"/>
    <xf numFmtId="49" fontId="5" fillId="3" borderId="12" xfId="0" applyNumberFormat="1" applyFont="1" applyFill="1" applyBorder="1" applyAlignment="1" applyProtection="1">
      <alignment horizontal="left" vertical="top" wrapText="1"/>
      <protection locked="0"/>
    </xf>
    <xf numFmtId="0" fontId="4" fillId="0" borderId="12" xfId="0" applyFont="1" applyBorder="1"/>
    <xf numFmtId="0" fontId="5" fillId="0" borderId="13" xfId="0" applyFont="1" applyBorder="1"/>
    <xf numFmtId="0" fontId="4" fillId="3" borderId="12" xfId="0" applyFont="1" applyFill="1" applyBorder="1"/>
    <xf numFmtId="0" fontId="4" fillId="5" borderId="12" xfId="0" applyFont="1" applyFill="1" applyBorder="1"/>
    <xf numFmtId="0" fontId="5" fillId="5" borderId="13" xfId="0" applyFont="1" applyFill="1" applyBorder="1"/>
    <xf numFmtId="0" fontId="4" fillId="6" borderId="12" xfId="0" applyFont="1" applyFill="1" applyBorder="1"/>
    <xf numFmtId="0" fontId="5" fillId="6" borderId="13" xfId="0" applyFont="1" applyFill="1" applyBorder="1"/>
    <xf numFmtId="0" fontId="17" fillId="0" borderId="0" xfId="2" applyFont="1" applyAlignment="1" applyProtection="1"/>
    <xf numFmtId="0" fontId="5" fillId="0" borderId="12" xfId="0" applyFont="1" applyBorder="1"/>
    <xf numFmtId="0" fontId="5" fillId="0" borderId="6" xfId="0" applyFont="1" applyBorder="1"/>
    <xf numFmtId="0" fontId="17" fillId="0" borderId="6" xfId="2" applyFont="1" applyBorder="1" applyAlignment="1" applyProtection="1"/>
    <xf numFmtId="0" fontId="5" fillId="0" borderId="1" xfId="0" applyFont="1" applyBorder="1" applyAlignment="1">
      <alignment horizontal="left" vertical="top" wrapText="1"/>
    </xf>
    <xf numFmtId="0" fontId="17" fillId="0" borderId="1" xfId="2" applyFont="1" applyBorder="1" applyAlignment="1" applyProtection="1"/>
    <xf numFmtId="0" fontId="4" fillId="3" borderId="1" xfId="0" applyFont="1" applyFill="1" applyBorder="1"/>
    <xf numFmtId="0" fontId="4" fillId="0" borderId="1" xfId="0" applyFont="1" applyBorder="1" applyAlignment="1">
      <alignment horizontal="left" wrapText="1"/>
    </xf>
    <xf numFmtId="0" fontId="5" fillId="0" borderId="1" xfId="0" applyFont="1" applyBorder="1" applyAlignment="1">
      <alignment horizontal="center" wrapText="1"/>
    </xf>
    <xf numFmtId="0" fontId="5" fillId="0" borderId="1" xfId="0" applyFont="1" applyBorder="1" applyAlignment="1">
      <alignment horizontal="left" wrapText="1"/>
    </xf>
    <xf numFmtId="0" fontId="18" fillId="0" borderId="0" xfId="0" applyFont="1" applyAlignment="1">
      <alignment horizontal="left" vertical="top"/>
    </xf>
    <xf numFmtId="0" fontId="18" fillId="0" borderId="0" xfId="0" applyFont="1" applyAlignment="1">
      <alignment horizontal="left" vertical="top" wrapText="1"/>
    </xf>
    <xf numFmtId="0" fontId="5" fillId="0" borderId="0" xfId="0" applyFont="1" applyAlignment="1">
      <alignment horizontal="left" vertical="top"/>
    </xf>
    <xf numFmtId="0" fontId="5" fillId="0" borderId="0" xfId="0" applyFont="1" applyAlignment="1">
      <alignment horizontal="left" vertical="top" wrapText="1"/>
    </xf>
    <xf numFmtId="0" fontId="5" fillId="3" borderId="1" xfId="0" applyFont="1" applyFill="1" applyBorder="1" applyAlignment="1">
      <alignment horizontal="left" vertical="top" wrapText="1"/>
    </xf>
    <xf numFmtId="0" fontId="5" fillId="0" borderId="1" xfId="0" applyFont="1" applyBorder="1" applyAlignment="1">
      <alignment wrapText="1"/>
    </xf>
    <xf numFmtId="0" fontId="4" fillId="0" borderId="5" xfId="0" applyFont="1" applyBorder="1"/>
    <xf numFmtId="0" fontId="4" fillId="0" borderId="0" xfId="0" applyFont="1" applyBorder="1" applyAlignment="1">
      <alignment horizontal="center"/>
    </xf>
    <xf numFmtId="0" fontId="0" fillId="0" borderId="5" xfId="0" applyBorder="1"/>
    <xf numFmtId="0" fontId="0" fillId="0" borderId="9" xfId="0" applyBorder="1"/>
    <xf numFmtId="0" fontId="0" fillId="0" borderId="14" xfId="0" applyBorder="1"/>
    <xf numFmtId="0" fontId="0" fillId="0" borderId="14" xfId="0" applyBorder="1" applyAlignment="1">
      <alignment horizontal="left"/>
    </xf>
    <xf numFmtId="0" fontId="0" fillId="0" borderId="10" xfId="0" applyBorder="1"/>
    <xf numFmtId="0" fontId="4" fillId="0" borderId="6" xfId="0" applyFont="1" applyBorder="1"/>
    <xf numFmtId="0" fontId="0" fillId="0" borderId="13" xfId="0" applyBorder="1"/>
    <xf numFmtId="14" fontId="5" fillId="3" borderId="1" xfId="0" applyNumberFormat="1" applyFont="1" applyFill="1" applyBorder="1" applyAlignment="1" applyProtection="1">
      <alignment horizontal="left" vertical="top" wrapText="1"/>
      <protection locked="0"/>
    </xf>
    <xf numFmtId="0" fontId="3" fillId="2"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5" fillId="0" borderId="0" xfId="0" applyFont="1" applyBorder="1" applyAlignment="1">
      <alignment horizontal="center"/>
    </xf>
    <xf numFmtId="0" fontId="5" fillId="0" borderId="0" xfId="0" applyFont="1" applyBorder="1" applyAlignment="1">
      <alignment vertical="center"/>
    </xf>
    <xf numFmtId="0" fontId="4" fillId="0" borderId="8" xfId="0" applyFont="1" applyBorder="1" applyAlignment="1">
      <alignment horizontal="center" vertical="center" readingOrder="1"/>
    </xf>
    <xf numFmtId="0" fontId="4" fillId="0" borderId="2" xfId="0" applyFont="1" applyBorder="1" applyAlignment="1">
      <alignment horizontal="center" vertical="center"/>
    </xf>
    <xf numFmtId="0" fontId="5" fillId="0" borderId="1" xfId="0" applyFont="1" applyBorder="1" applyAlignment="1">
      <alignment vertical="center"/>
    </xf>
    <xf numFmtId="0" fontId="14" fillId="0" borderId="1" xfId="0" applyFont="1" applyBorder="1" applyAlignment="1">
      <alignment horizontal="center" vertical="center"/>
    </xf>
    <xf numFmtId="0" fontId="14" fillId="0" borderId="1" xfId="0" applyFont="1" applyBorder="1" applyAlignment="1">
      <alignment vertical="center"/>
    </xf>
    <xf numFmtId="0" fontId="4" fillId="0" borderId="1" xfId="0" applyFont="1" applyBorder="1" applyAlignment="1">
      <alignment vertical="center"/>
    </xf>
    <xf numFmtId="0" fontId="5" fillId="0" borderId="0" xfId="0" applyFont="1" applyBorder="1"/>
    <xf numFmtId="0" fontId="5" fillId="7" borderId="0" xfId="0" applyFont="1" applyFill="1" applyBorder="1" applyAlignment="1" applyProtection="1">
      <alignment vertical="top" wrapText="1"/>
    </xf>
    <xf numFmtId="0" fontId="5" fillId="0" borderId="15" xfId="0" applyFont="1" applyBorder="1" applyAlignment="1">
      <alignment horizontal="left" vertical="top" wrapText="1"/>
    </xf>
    <xf numFmtId="0" fontId="5" fillId="0" borderId="8" xfId="0" applyFont="1" applyBorder="1" applyAlignment="1">
      <alignment horizontal="left" vertical="top" wrapText="1"/>
    </xf>
    <xf numFmtId="0" fontId="5" fillId="0" borderId="5" xfId="0" applyFont="1" applyFill="1" applyBorder="1" applyAlignment="1" applyProtection="1">
      <alignment vertical="top" wrapText="1"/>
      <protection locked="0"/>
    </xf>
    <xf numFmtId="0" fontId="5" fillId="0" borderId="0" xfId="0" applyFont="1" applyFill="1" applyBorder="1" applyAlignment="1" applyProtection="1">
      <alignment vertical="top" wrapText="1"/>
      <protection locked="0"/>
    </xf>
    <xf numFmtId="0" fontId="5" fillId="3" borderId="5" xfId="0" applyFont="1" applyFill="1" applyBorder="1" applyAlignment="1" applyProtection="1">
      <alignment vertical="top" wrapText="1"/>
      <protection locked="0"/>
    </xf>
    <xf numFmtId="0" fontId="5" fillId="3" borderId="0" xfId="0" applyFont="1" applyFill="1" applyBorder="1" applyAlignment="1" applyProtection="1">
      <alignment vertical="top" wrapText="1"/>
      <protection locked="0"/>
    </xf>
    <xf numFmtId="0" fontId="5" fillId="0" borderId="0" xfId="0" applyFont="1" applyBorder="1" applyAlignment="1"/>
    <xf numFmtId="0" fontId="5" fillId="0" borderId="0" xfId="0" applyFont="1" applyBorder="1" applyAlignment="1">
      <alignment vertical="top" wrapText="1"/>
    </xf>
    <xf numFmtId="0" fontId="4" fillId="0" borderId="0" xfId="0" applyFont="1" applyBorder="1" applyAlignment="1">
      <alignment vertical="top" wrapText="1"/>
    </xf>
    <xf numFmtId="0" fontId="4" fillId="0" borderId="5" xfId="0" applyFont="1" applyBorder="1" applyAlignment="1">
      <alignment vertical="top" wrapText="1"/>
    </xf>
    <xf numFmtId="1" fontId="5" fillId="3" borderId="9" xfId="0" applyNumberFormat="1" applyFont="1" applyFill="1" applyBorder="1" applyAlignment="1" applyProtection="1">
      <alignment vertical="top" wrapText="1"/>
      <protection locked="0"/>
    </xf>
    <xf numFmtId="1" fontId="5" fillId="3" borderId="14" xfId="0" applyNumberFormat="1" applyFont="1" applyFill="1" applyBorder="1" applyAlignment="1" applyProtection="1">
      <alignment vertical="top" wrapText="1"/>
      <protection locked="0"/>
    </xf>
    <xf numFmtId="1" fontId="5" fillId="3" borderId="10" xfId="0" applyNumberFormat="1" applyFont="1" applyFill="1" applyBorder="1" applyAlignment="1" applyProtection="1">
      <alignment vertical="top" wrapText="1"/>
      <protection locked="0"/>
    </xf>
    <xf numFmtId="49" fontId="5" fillId="3" borderId="9" xfId="0" applyNumberFormat="1" applyFont="1" applyFill="1" applyBorder="1" applyAlignment="1" applyProtection="1">
      <alignment vertical="top" wrapText="1"/>
      <protection locked="0"/>
    </xf>
    <xf numFmtId="49" fontId="5" fillId="3" borderId="14" xfId="0" applyNumberFormat="1" applyFont="1" applyFill="1" applyBorder="1" applyAlignment="1" applyProtection="1">
      <alignment vertical="top" wrapText="1"/>
      <protection locked="0"/>
    </xf>
    <xf numFmtId="49" fontId="5" fillId="3" borderId="10" xfId="0" applyNumberFormat="1" applyFont="1" applyFill="1" applyBorder="1" applyAlignment="1" applyProtection="1">
      <alignment vertical="top" wrapText="1"/>
      <protection locked="0"/>
    </xf>
    <xf numFmtId="0" fontId="4" fillId="0" borderId="4" xfId="0" applyFont="1" applyFill="1" applyBorder="1" applyAlignment="1">
      <alignment horizontal="left" vertical="top" wrapText="1"/>
    </xf>
    <xf numFmtId="0" fontId="4" fillId="0" borderId="9" xfId="0" applyFont="1" applyFill="1" applyBorder="1" applyAlignment="1">
      <alignment vertical="top" wrapText="1"/>
    </xf>
    <xf numFmtId="0" fontId="4" fillId="0" borderId="14" xfId="0" applyFont="1" applyFill="1" applyBorder="1" applyAlignment="1">
      <alignment vertical="top" wrapText="1"/>
    </xf>
    <xf numFmtId="0" fontId="4" fillId="0" borderId="10" xfId="0" applyFont="1" applyFill="1" applyBorder="1" applyAlignment="1">
      <alignment vertical="top" wrapText="1"/>
    </xf>
    <xf numFmtId="0" fontId="5" fillId="0" borderId="0" xfId="0" applyFont="1" applyFill="1" applyBorder="1" applyAlignment="1" applyProtection="1">
      <alignment vertical="top" wrapText="1"/>
    </xf>
    <xf numFmtId="0" fontId="5" fillId="0" borderId="5" xfId="0" applyFont="1" applyFill="1" applyBorder="1" applyAlignment="1" applyProtection="1">
      <alignment vertical="top" wrapText="1"/>
    </xf>
    <xf numFmtId="0" fontId="5" fillId="0" borderId="4" xfId="0" applyFont="1" applyFill="1" applyBorder="1" applyAlignment="1" applyProtection="1">
      <alignment vertical="top" wrapText="1"/>
    </xf>
    <xf numFmtId="0" fontId="9" fillId="0" borderId="0" xfId="0" applyFont="1" applyFill="1" applyBorder="1" applyAlignment="1">
      <alignment vertical="top" wrapText="1"/>
    </xf>
    <xf numFmtId="0" fontId="9" fillId="0" borderId="4" xfId="0" applyFont="1" applyFill="1" applyBorder="1" applyAlignment="1">
      <alignment vertical="top" wrapText="1"/>
    </xf>
    <xf numFmtId="0" fontId="5" fillId="0" borderId="0" xfId="0" applyFont="1" applyBorder="1" applyAlignment="1" applyProtection="1">
      <alignment vertical="top" wrapText="1"/>
      <protection locked="0"/>
    </xf>
    <xf numFmtId="0" fontId="5" fillId="0" borderId="5" xfId="0" applyFont="1" applyBorder="1"/>
    <xf numFmtId="0" fontId="5" fillId="0" borderId="5" xfId="0" applyFont="1" applyBorder="1" applyAlignment="1">
      <alignment vertical="top" wrapText="1"/>
    </xf>
    <xf numFmtId="0" fontId="5" fillId="0" borderId="0" xfId="0" applyFont="1" applyFill="1" applyBorder="1" applyAlignment="1" applyProtection="1">
      <alignment horizontal="left" vertical="top" wrapText="1"/>
    </xf>
    <xf numFmtId="0" fontId="14" fillId="0" borderId="1" xfId="0" applyFont="1" applyFill="1" applyBorder="1" applyAlignment="1">
      <alignment horizontal="right" vertical="top" wrapText="1"/>
    </xf>
    <xf numFmtId="0" fontId="14" fillId="0" borderId="1" xfId="0" applyFont="1" applyBorder="1" applyAlignment="1">
      <alignment horizontal="right" vertical="top" wrapText="1"/>
    </xf>
    <xf numFmtId="0" fontId="5" fillId="4" borderId="0" xfId="0" applyFont="1" applyFill="1" applyBorder="1"/>
    <xf numFmtId="0" fontId="5" fillId="4" borderId="0" xfId="0" applyFont="1" applyFill="1"/>
    <xf numFmtId="0" fontId="5" fillId="4" borderId="0" xfId="0" applyFont="1" applyFill="1" applyBorder="1" applyAlignment="1">
      <alignment horizontal="left"/>
    </xf>
    <xf numFmtId="0" fontId="5" fillId="4" borderId="0" xfId="0" applyFont="1" applyFill="1" applyAlignment="1">
      <alignment horizontal="left"/>
    </xf>
    <xf numFmtId="0" fontId="22" fillId="4" borderId="0" xfId="0" applyFont="1" applyFill="1" applyBorder="1" applyProtection="1"/>
    <xf numFmtId="0" fontId="5" fillId="4" borderId="6" xfId="0" applyFont="1" applyFill="1" applyBorder="1"/>
    <xf numFmtId="0" fontId="5" fillId="4" borderId="0" xfId="0" applyFont="1" applyFill="1" applyBorder="1" applyAlignment="1" applyProtection="1">
      <alignment vertical="top" wrapText="1"/>
    </xf>
    <xf numFmtId="0" fontId="4" fillId="0" borderId="1" xfId="0" applyFont="1" applyBorder="1" applyAlignment="1">
      <alignment horizontal="center"/>
    </xf>
    <xf numFmtId="0" fontId="4" fillId="0" borderId="1" xfId="0" applyFont="1" applyBorder="1" applyAlignment="1">
      <alignment horizontal="right" wrapText="1"/>
    </xf>
    <xf numFmtId="49" fontId="4" fillId="0" borderId="1" xfId="0" applyNumberFormat="1" applyFont="1" applyBorder="1" applyAlignment="1">
      <alignment horizontal="right" wrapText="1"/>
    </xf>
    <xf numFmtId="0" fontId="0" fillId="0" borderId="5" xfId="0" applyFill="1" applyBorder="1" applyAlignment="1"/>
    <xf numFmtId="0" fontId="0" fillId="0" borderId="9" xfId="0" applyBorder="1" applyAlignment="1">
      <alignment horizontal="left"/>
    </xf>
    <xf numFmtId="49" fontId="5" fillId="3" borderId="15" xfId="0" applyNumberFormat="1" applyFont="1" applyFill="1" applyBorder="1" applyAlignment="1" applyProtection="1">
      <alignment horizontal="left" vertical="top" wrapText="1"/>
      <protection locked="0"/>
    </xf>
    <xf numFmtId="0" fontId="0" fillId="0" borderId="0" xfId="0" applyFill="1" applyBorder="1" applyAlignment="1"/>
    <xf numFmtId="0" fontId="0" fillId="0" borderId="4" xfId="0" applyBorder="1" applyAlignment="1">
      <alignment horizontal="left"/>
    </xf>
    <xf numFmtId="0" fontId="3" fillId="2" borderId="3" xfId="0" applyFont="1" applyFill="1" applyBorder="1" applyAlignment="1">
      <alignment horizontal="center" wrapText="1"/>
    </xf>
    <xf numFmtId="0" fontId="3" fillId="2" borderId="11" xfId="0" applyFont="1" applyFill="1" applyBorder="1" applyAlignment="1">
      <alignment horizontal="right" vertical="center"/>
    </xf>
    <xf numFmtId="0" fontId="0" fillId="0" borderId="5" xfId="0" applyBorder="1" applyAlignment="1"/>
    <xf numFmtId="0" fontId="27" fillId="4" borderId="0" xfId="0" applyFont="1" applyFill="1" applyBorder="1" applyAlignment="1">
      <alignment vertical="center"/>
    </xf>
    <xf numFmtId="0" fontId="4" fillId="0" borderId="6" xfId="0" applyFont="1" applyBorder="1" applyAlignment="1">
      <alignment horizontal="left" vertical="center"/>
    </xf>
    <xf numFmtId="0" fontId="4" fillId="0" borderId="0" xfId="0" applyFont="1" applyAlignment="1"/>
    <xf numFmtId="0" fontId="2" fillId="0" borderId="1" xfId="2" applyBorder="1" applyAlignment="1" applyProtection="1"/>
    <xf numFmtId="0" fontId="4" fillId="0" borderId="9" xfId="0" applyFont="1" applyBorder="1" applyAlignment="1">
      <alignment horizontal="left" vertical="top" wrapText="1"/>
    </xf>
    <xf numFmtId="0" fontId="4" fillId="0" borderId="10" xfId="0" applyFont="1" applyBorder="1" applyAlignment="1">
      <alignment horizontal="left" vertical="top" wrapText="1"/>
    </xf>
    <xf numFmtId="0" fontId="0" fillId="0" borderId="12" xfId="0" applyBorder="1"/>
    <xf numFmtId="0" fontId="4" fillId="0" borderId="6" xfId="0" applyFont="1" applyBorder="1" applyAlignment="1">
      <alignment vertical="center" wrapText="1"/>
    </xf>
    <xf numFmtId="0" fontId="4" fillId="0" borderId="6" xfId="0" applyFont="1" applyBorder="1" applyAlignment="1">
      <alignment horizontal="left" vertical="center" wrapText="1"/>
    </xf>
    <xf numFmtId="0" fontId="4" fillId="0" borderId="13" xfId="0" applyFont="1" applyBorder="1" applyAlignment="1">
      <alignment horizontal="left" vertical="center" wrapText="1"/>
    </xf>
    <xf numFmtId="49" fontId="0" fillId="0" borderId="0" xfId="0" applyNumberFormat="1"/>
    <xf numFmtId="0" fontId="5" fillId="3" borderId="1" xfId="0" applyFont="1" applyFill="1" applyBorder="1" applyAlignment="1" applyProtection="1">
      <alignment horizontal="right" vertical="top" wrapText="1"/>
      <protection locked="0"/>
    </xf>
    <xf numFmtId="0" fontId="5" fillId="3" borderId="1" xfId="0" applyNumberFormat="1" applyFont="1" applyFill="1" applyBorder="1" applyAlignment="1" applyProtection="1">
      <alignment horizontal="right" vertical="top" wrapText="1"/>
      <protection locked="0"/>
    </xf>
    <xf numFmtId="0" fontId="0" fillId="0" borderId="0" xfId="0" applyAlignment="1">
      <alignment wrapText="1"/>
    </xf>
    <xf numFmtId="0" fontId="3" fillId="0" borderId="0" xfId="0" applyFont="1" applyFill="1" applyAlignment="1">
      <alignment horizontal="center" wrapText="1"/>
    </xf>
    <xf numFmtId="0" fontId="4" fillId="0" borderId="0" xfId="0" applyFont="1" applyBorder="1" applyAlignment="1">
      <alignment wrapText="1"/>
    </xf>
    <xf numFmtId="0" fontId="5" fillId="0" borderId="0" xfId="0" applyFont="1" applyAlignment="1">
      <alignment vertical="center"/>
    </xf>
    <xf numFmtId="3" fontId="5" fillId="3" borderId="1" xfId="0" applyNumberFormat="1" applyFont="1" applyFill="1" applyBorder="1" applyAlignment="1" applyProtection="1">
      <alignment horizontal="right" vertical="top" wrapText="1"/>
      <protection locked="0"/>
    </xf>
    <xf numFmtId="0" fontId="0" fillId="4" borderId="0" xfId="0" applyFill="1" applyBorder="1" applyAlignment="1"/>
    <xf numFmtId="0" fontId="22" fillId="4" borderId="0" xfId="0" applyFont="1" applyFill="1" applyBorder="1" applyAlignment="1" applyProtection="1">
      <alignment horizontal="left"/>
    </xf>
    <xf numFmtId="0" fontId="5" fillId="4" borderId="0" xfId="0" applyFont="1" applyFill="1" applyBorder="1" applyAlignment="1" applyProtection="1">
      <alignment horizontal="left" vertical="top" wrapText="1"/>
    </xf>
    <xf numFmtId="0" fontId="5" fillId="4" borderId="0" xfId="0" applyFont="1" applyFill="1" applyBorder="1" applyAlignment="1" applyProtection="1">
      <alignment horizontal="center" vertical="top" wrapText="1"/>
    </xf>
    <xf numFmtId="0" fontId="22" fillId="4" borderId="0" xfId="0" applyFont="1" applyFill="1" applyBorder="1"/>
    <xf numFmtId="0" fontId="3" fillId="0" borderId="0" xfId="0" applyFont="1" applyFill="1" applyBorder="1" applyAlignment="1">
      <alignment horizontal="center"/>
    </xf>
    <xf numFmtId="0" fontId="4" fillId="0" borderId="0" xfId="0" applyFont="1" applyBorder="1" applyAlignment="1"/>
    <xf numFmtId="0" fontId="22" fillId="4" borderId="0" xfId="0" applyFont="1" applyFill="1"/>
    <xf numFmtId="0" fontId="5" fillId="0" borderId="10" xfId="0" applyFont="1" applyBorder="1" applyAlignment="1">
      <alignment horizontal="left" vertical="top" wrapText="1"/>
    </xf>
    <xf numFmtId="0" fontId="26" fillId="0" borderId="9" xfId="0" applyFont="1" applyBorder="1" applyAlignment="1">
      <alignment vertical="top" wrapText="1"/>
    </xf>
    <xf numFmtId="0" fontId="26" fillId="0" borderId="14" xfId="0" applyFont="1" applyBorder="1" applyAlignment="1">
      <alignment vertical="top" wrapText="1"/>
    </xf>
    <xf numFmtId="0" fontId="5" fillId="0" borderId="4" xfId="0" applyFont="1" applyBorder="1" applyAlignment="1">
      <alignment vertical="center"/>
    </xf>
    <xf numFmtId="0" fontId="5" fillId="0" borderId="14" xfId="0" applyFont="1" applyBorder="1"/>
    <xf numFmtId="0" fontId="5" fillId="0" borderId="14" xfId="0" applyFont="1" applyBorder="1" applyAlignment="1">
      <alignment vertical="center"/>
    </xf>
    <xf numFmtId="0" fontId="5" fillId="0" borderId="10" xfId="0" applyFont="1" applyBorder="1" applyAlignment="1">
      <alignment vertical="center"/>
    </xf>
    <xf numFmtId="0" fontId="5" fillId="0" borderId="9" xfId="0" applyFont="1" applyBorder="1"/>
    <xf numFmtId="0" fontId="26" fillId="0" borderId="10" xfId="0" applyFont="1" applyBorder="1" applyAlignment="1">
      <alignment vertical="top" wrapText="1"/>
    </xf>
    <xf numFmtId="0" fontId="8" fillId="0" borderId="1" xfId="0" applyFont="1" applyBorder="1" applyAlignment="1">
      <alignment vertical="top"/>
    </xf>
    <xf numFmtId="0" fontId="31" fillId="0" borderId="6" xfId="0" applyFont="1" applyBorder="1"/>
    <xf numFmtId="0" fontId="28" fillId="0" borderId="1" xfId="0" applyFont="1" applyBorder="1"/>
    <xf numFmtId="0" fontId="32" fillId="0" borderId="1" xfId="0" applyFont="1" applyBorder="1"/>
    <xf numFmtId="0" fontId="33" fillId="0" borderId="1" xfId="0" applyFont="1" applyBorder="1"/>
    <xf numFmtId="0" fontId="33" fillId="0" borderId="1" xfId="0" applyFont="1" applyBorder="1" applyProtection="1">
      <protection hidden="1"/>
    </xf>
    <xf numFmtId="0" fontId="5" fillId="0" borderId="1" xfId="0" applyFont="1" applyBorder="1" applyProtection="1">
      <protection hidden="1"/>
    </xf>
    <xf numFmtId="0" fontId="5" fillId="8" borderId="1" xfId="0" applyFont="1" applyFill="1" applyBorder="1" applyProtection="1">
      <protection hidden="1"/>
    </xf>
    <xf numFmtId="0" fontId="33" fillId="0" borderId="1" xfId="0" applyFont="1" applyFill="1" applyBorder="1" applyProtection="1">
      <protection hidden="1"/>
    </xf>
    <xf numFmtId="0" fontId="33" fillId="0" borderId="0" xfId="0" applyFont="1" applyFill="1" applyBorder="1"/>
    <xf numFmtId="0" fontId="5" fillId="8" borderId="0" xfId="0" applyFont="1" applyFill="1" applyBorder="1"/>
    <xf numFmtId="0" fontId="33" fillId="0" borderId="0" xfId="0" applyFont="1"/>
    <xf numFmtId="0" fontId="23" fillId="0" borderId="1" xfId="0" applyFont="1" applyBorder="1"/>
    <xf numFmtId="49" fontId="5" fillId="3" borderId="1" xfId="0" applyNumberFormat="1" applyFont="1" applyFill="1" applyBorder="1" applyProtection="1">
      <protection locked="0"/>
    </xf>
    <xf numFmtId="1" fontId="5" fillId="0" borderId="0" xfId="0" applyNumberFormat="1" applyFont="1"/>
    <xf numFmtId="0" fontId="4" fillId="0" borderId="0" xfId="0" applyFont="1" applyAlignment="1">
      <alignment wrapText="1"/>
    </xf>
    <xf numFmtId="0" fontId="34" fillId="7" borderId="12" xfId="0" applyFont="1" applyFill="1" applyBorder="1" applyAlignment="1">
      <alignment vertical="top" wrapText="1"/>
    </xf>
    <xf numFmtId="0" fontId="34" fillId="7" borderId="13" xfId="0" applyFont="1" applyFill="1" applyBorder="1" applyAlignment="1">
      <alignment vertical="top" wrapText="1"/>
    </xf>
    <xf numFmtId="0" fontId="4" fillId="0" borderId="0" xfId="0" applyFont="1" applyProtection="1">
      <protection hidden="1"/>
    </xf>
    <xf numFmtId="0" fontId="4" fillId="0" borderId="0" xfId="0" applyFont="1" applyProtection="1">
      <protection locked="0" hidden="1"/>
    </xf>
    <xf numFmtId="0" fontId="5" fillId="0" borderId="0" xfId="0" applyFont="1" applyAlignment="1">
      <alignment wrapText="1"/>
    </xf>
    <xf numFmtId="0" fontId="34" fillId="0" borderId="0" xfId="0" applyFont="1" applyFill="1" applyBorder="1" applyAlignment="1">
      <alignment vertical="top" wrapText="1"/>
    </xf>
    <xf numFmtId="49" fontId="5" fillId="3" borderId="1" xfId="0" applyNumberFormat="1" applyFont="1" applyFill="1" applyBorder="1" applyAlignment="1" applyProtection="1">
      <alignment horizontal="right"/>
      <protection locked="0"/>
    </xf>
    <xf numFmtId="49" fontId="5" fillId="3" borderId="1" xfId="0" applyNumberFormat="1" applyFont="1" applyFill="1" applyBorder="1" applyAlignment="1" applyProtection="1">
      <alignment horizontal="center"/>
      <protection locked="0"/>
    </xf>
    <xf numFmtId="1" fontId="5" fillId="3" borderId="1" xfId="0" applyNumberFormat="1" applyFont="1" applyFill="1" applyBorder="1" applyAlignment="1" applyProtection="1">
      <alignment horizontal="right"/>
      <protection locked="0"/>
    </xf>
    <xf numFmtId="0" fontId="7" fillId="0" borderId="0" xfId="0" applyFont="1" applyBorder="1" applyAlignment="1">
      <alignment vertical="top" wrapText="1"/>
    </xf>
    <xf numFmtId="0" fontId="4" fillId="0" borderId="12" xfId="0" applyFont="1" applyBorder="1" applyAlignment="1">
      <alignment vertical="center"/>
    </xf>
    <xf numFmtId="0" fontId="4" fillId="0" borderId="6" xfId="0" applyFont="1" applyBorder="1" applyAlignment="1">
      <alignment vertical="center"/>
    </xf>
    <xf numFmtId="0" fontId="4" fillId="0" borderId="13" xfId="0" applyFont="1" applyBorder="1" applyAlignment="1">
      <alignment vertical="center"/>
    </xf>
    <xf numFmtId="0" fontId="5" fillId="4" borderId="5" xfId="0" applyFont="1" applyFill="1" applyBorder="1" applyAlignment="1">
      <alignment vertical="center"/>
    </xf>
    <xf numFmtId="0" fontId="5" fillId="4" borderId="0" xfId="0" applyFont="1" applyFill="1" applyBorder="1" applyAlignment="1">
      <alignment vertical="center"/>
    </xf>
    <xf numFmtId="0" fontId="5" fillId="4" borderId="4" xfId="0" applyFont="1" applyFill="1" applyBorder="1" applyAlignment="1">
      <alignment vertical="center"/>
    </xf>
    <xf numFmtId="0" fontId="4" fillId="0" borderId="12" xfId="0" applyFont="1" applyBorder="1" applyAlignment="1">
      <alignment vertical="top" wrapText="1"/>
    </xf>
    <xf numFmtId="0" fontId="4" fillId="0" borderId="6" xfId="0" applyFont="1" applyBorder="1" applyAlignment="1">
      <alignment vertical="top" wrapText="1"/>
    </xf>
    <xf numFmtId="0" fontId="4" fillId="0" borderId="13" xfId="0" applyFont="1" applyBorder="1" applyAlignment="1">
      <alignment vertical="top" wrapText="1"/>
    </xf>
    <xf numFmtId="0" fontId="14" fillId="0" borderId="13" xfId="0" applyFont="1" applyBorder="1" applyAlignment="1">
      <alignment vertical="center"/>
    </xf>
    <xf numFmtId="0" fontId="14" fillId="0" borderId="12" xfId="0" applyFont="1" applyFill="1" applyBorder="1" applyAlignment="1" applyProtection="1">
      <alignment vertical="center"/>
    </xf>
    <xf numFmtId="0" fontId="14" fillId="0" borderId="6" xfId="0" applyFont="1" applyFill="1" applyBorder="1" applyAlignment="1" applyProtection="1">
      <alignment vertical="center"/>
    </xf>
    <xf numFmtId="0" fontId="14" fillId="0" borderId="13" xfId="0" applyFont="1" applyFill="1" applyBorder="1" applyAlignment="1" applyProtection="1">
      <alignment vertical="center"/>
    </xf>
    <xf numFmtId="0" fontId="5" fillId="3" borderId="1" xfId="0" applyNumberFormat="1" applyFont="1" applyFill="1" applyBorder="1" applyProtection="1">
      <protection locked="0"/>
    </xf>
    <xf numFmtId="0" fontId="14" fillId="0" borderId="12" xfId="0" applyFont="1" applyBorder="1" applyAlignment="1">
      <alignment vertical="top" wrapText="1"/>
    </xf>
    <xf numFmtId="0" fontId="14" fillId="0" borderId="6" xfId="0" applyFont="1" applyBorder="1" applyAlignment="1">
      <alignment vertical="top" wrapText="1"/>
    </xf>
    <xf numFmtId="0" fontId="14" fillId="0" borderId="13" xfId="0" applyFont="1" applyBorder="1" applyAlignment="1">
      <alignment vertical="top" wrapText="1"/>
    </xf>
    <xf numFmtId="0" fontId="14" fillId="0" borderId="12" xfId="0" applyFont="1" applyBorder="1" applyAlignment="1">
      <alignment vertical="top"/>
    </xf>
    <xf numFmtId="3" fontId="33" fillId="7" borderId="1" xfId="1" applyNumberFormat="1" applyFont="1" applyFill="1" applyBorder="1" applyAlignment="1" applyProtection="1">
      <alignment horizontal="right" vertical="center" wrapText="1"/>
      <protection hidden="1"/>
    </xf>
    <xf numFmtId="3" fontId="33" fillId="0" borderId="1" xfId="1" applyNumberFormat="1" applyFont="1" applyFill="1" applyBorder="1" applyAlignment="1" applyProtection="1">
      <alignment horizontal="right" vertical="center" wrapText="1"/>
      <protection hidden="1"/>
    </xf>
    <xf numFmtId="164" fontId="5" fillId="3" borderId="1" xfId="1" applyNumberFormat="1" applyFont="1" applyFill="1" applyBorder="1" applyAlignment="1" applyProtection="1">
      <alignment horizontal="right" vertical="top" wrapText="1"/>
      <protection locked="0"/>
    </xf>
    <xf numFmtId="164" fontId="0" fillId="0" borderId="4" xfId="1" applyNumberFormat="1" applyFont="1" applyBorder="1"/>
    <xf numFmtId="164" fontId="5" fillId="3" borderId="1" xfId="1" applyNumberFormat="1" applyFont="1" applyFill="1" applyBorder="1" applyAlignment="1" applyProtection="1">
      <alignment horizontal="right" wrapText="1"/>
      <protection locked="0"/>
    </xf>
    <xf numFmtId="164" fontId="0" fillId="3" borderId="10" xfId="1" applyNumberFormat="1" applyFont="1" applyFill="1" applyBorder="1" applyAlignment="1" applyProtection="1">
      <alignment horizontal="right" vertical="top" wrapText="1"/>
      <protection locked="0"/>
    </xf>
    <xf numFmtId="3" fontId="33" fillId="7" borderId="0" xfId="1" applyNumberFormat="1" applyFont="1" applyFill="1" applyBorder="1" applyAlignment="1" applyProtection="1">
      <alignment horizontal="right" vertical="center" wrapText="1"/>
      <protection hidden="1"/>
    </xf>
    <xf numFmtId="0" fontId="4" fillId="0" borderId="1" xfId="0" applyFont="1" applyBorder="1" applyAlignment="1">
      <alignment horizontal="center" vertical="center" readingOrder="1"/>
    </xf>
    <xf numFmtId="0" fontId="5" fillId="0" borderId="14" xfId="0" applyFont="1" applyFill="1" applyBorder="1" applyAlignment="1" applyProtection="1">
      <alignment vertical="top" wrapText="1"/>
    </xf>
    <xf numFmtId="0" fontId="5" fillId="0" borderId="10" xfId="0" applyFont="1" applyFill="1" applyBorder="1" applyAlignment="1" applyProtection="1">
      <alignment vertical="top" wrapText="1"/>
    </xf>
    <xf numFmtId="0" fontId="4" fillId="0" borderId="5" xfId="0" applyFont="1" applyBorder="1" applyAlignment="1">
      <alignment vertical="center" textRotation="90"/>
    </xf>
    <xf numFmtId="0" fontId="4" fillId="0" borderId="4" xfId="0" applyFont="1" applyBorder="1" applyAlignment="1">
      <alignment vertical="center" textRotation="90"/>
    </xf>
    <xf numFmtId="0" fontId="4" fillId="0" borderId="9" xfId="0" applyFont="1" applyBorder="1" applyAlignment="1">
      <alignment vertical="center" textRotation="90"/>
    </xf>
    <xf numFmtId="0" fontId="4" fillId="0" borderId="10" xfId="0" applyFont="1" applyBorder="1" applyAlignment="1">
      <alignment vertical="center" textRotation="90"/>
    </xf>
    <xf numFmtId="0" fontId="4" fillId="0" borderId="13" xfId="0" applyFont="1" applyBorder="1" applyAlignment="1"/>
    <xf numFmtId="0" fontId="8" fillId="0" borderId="2" xfId="0" applyFont="1" applyBorder="1" applyAlignment="1">
      <alignment vertical="center"/>
    </xf>
    <xf numFmtId="0" fontId="8" fillId="0" borderId="2" xfId="0" applyFont="1" applyBorder="1" applyAlignment="1">
      <alignment vertical="center" wrapText="1"/>
    </xf>
    <xf numFmtId="0" fontId="0" fillId="0" borderId="0" xfId="0" applyProtection="1">
      <protection hidden="1"/>
    </xf>
    <xf numFmtId="0" fontId="5" fillId="0" borderId="1" xfId="0" applyNumberFormat="1" applyFont="1" applyBorder="1" applyProtection="1">
      <protection hidden="1"/>
    </xf>
    <xf numFmtId="0" fontId="8" fillId="0" borderId="12" xfId="0" applyFont="1" applyBorder="1" applyAlignment="1">
      <alignment horizontal="left" vertical="top" wrapText="1"/>
    </xf>
    <xf numFmtId="0" fontId="8" fillId="0" borderId="13" xfId="0" applyFont="1" applyBorder="1" applyAlignment="1">
      <alignment horizontal="left" vertical="top" wrapText="1"/>
    </xf>
    <xf numFmtId="0" fontId="4" fillId="0" borderId="1" xfId="0" applyFont="1" applyFill="1" applyBorder="1" applyAlignment="1">
      <alignment horizontal="center" vertical="center" wrapText="1"/>
    </xf>
    <xf numFmtId="0" fontId="4" fillId="0" borderId="13" xfId="0" applyFont="1" applyBorder="1"/>
    <xf numFmtId="0" fontId="18" fillId="0" borderId="12" xfId="0" applyFont="1" applyBorder="1" applyAlignment="1">
      <alignment vertical="center"/>
    </xf>
    <xf numFmtId="0" fontId="18" fillId="0" borderId="6" xfId="0" applyFont="1" applyBorder="1" applyAlignment="1">
      <alignment vertical="center"/>
    </xf>
    <xf numFmtId="0" fontId="18" fillId="0" borderId="13" xfId="0" applyFont="1" applyBorder="1" applyAlignment="1">
      <alignment vertical="center"/>
    </xf>
    <xf numFmtId="0" fontId="4" fillId="4" borderId="12" xfId="0" applyFont="1" applyFill="1" applyBorder="1" applyAlignment="1"/>
    <xf numFmtId="0" fontId="0" fillId="4" borderId="13" xfId="0" applyFill="1" applyBorder="1" applyAlignment="1"/>
    <xf numFmtId="0" fontId="4" fillId="0" borderId="2" xfId="0" applyFont="1" applyBorder="1" applyAlignment="1">
      <alignment vertical="center"/>
    </xf>
    <xf numFmtId="0" fontId="4" fillId="0" borderId="3" xfId="0" applyFont="1" applyBorder="1" applyAlignment="1">
      <alignment vertical="center"/>
    </xf>
    <xf numFmtId="0" fontId="22" fillId="0" borderId="1" xfId="0" applyFont="1" applyBorder="1" applyAlignment="1">
      <alignment horizontal="center" vertical="center"/>
    </xf>
    <xf numFmtId="0" fontId="5" fillId="3" borderId="1" xfId="0" applyFont="1" applyFill="1" applyBorder="1" applyAlignment="1" applyProtection="1">
      <alignment horizontal="left" vertical="center" wrapText="1"/>
      <protection locked="0"/>
    </xf>
    <xf numFmtId="0" fontId="5" fillId="3" borderId="1" xfId="0" applyFont="1" applyFill="1" applyBorder="1" applyAlignment="1" applyProtection="1">
      <alignment horizontal="left" wrapText="1"/>
      <protection locked="0"/>
    </xf>
    <xf numFmtId="0" fontId="5" fillId="3" borderId="1" xfId="0" applyFont="1" applyFill="1" applyBorder="1" applyAlignment="1" applyProtection="1">
      <alignment wrapText="1"/>
      <protection locked="0"/>
    </xf>
    <xf numFmtId="49" fontId="5" fillId="3" borderId="1" xfId="0" applyNumberFormat="1" applyFont="1" applyFill="1" applyBorder="1" applyAlignment="1" applyProtection="1">
      <alignment horizontal="right" wrapText="1"/>
      <protection locked="0"/>
    </xf>
    <xf numFmtId="0" fontId="4" fillId="0" borderId="11" xfId="0" applyFont="1" applyBorder="1" applyAlignment="1">
      <alignment vertical="center"/>
    </xf>
    <xf numFmtId="0" fontId="22" fillId="0" borderId="6" xfId="0" applyFont="1" applyBorder="1" applyAlignment="1">
      <alignment horizontal="center" vertical="center"/>
    </xf>
    <xf numFmtId="0" fontId="5" fillId="0" borderId="6" xfId="0" applyFont="1" applyFill="1" applyBorder="1" applyProtection="1">
      <protection hidden="1"/>
    </xf>
    <xf numFmtId="1" fontId="5" fillId="0" borderId="13" xfId="0" applyNumberFormat="1" applyFont="1" applyFill="1" applyBorder="1" applyAlignment="1" applyProtection="1">
      <alignment horizontal="right"/>
      <protection hidden="1"/>
    </xf>
    <xf numFmtId="0" fontId="18" fillId="0" borderId="13" xfId="0" applyFont="1" applyBorder="1" applyAlignment="1">
      <alignment horizontal="center" vertical="center"/>
    </xf>
    <xf numFmtId="1" fontId="15" fillId="7" borderId="1" xfId="0" applyNumberFormat="1" applyFont="1" applyFill="1" applyBorder="1" applyAlignment="1" applyProtection="1">
      <alignment horizontal="right"/>
      <protection hidden="1"/>
    </xf>
    <xf numFmtId="0" fontId="8" fillId="0" borderId="1" xfId="0" applyFont="1" applyBorder="1" applyAlignment="1">
      <alignment horizontal="left" vertical="top" wrapText="1"/>
    </xf>
    <xf numFmtId="0" fontId="38" fillId="0" borderId="6" xfId="0" applyFont="1" applyBorder="1" applyAlignment="1"/>
    <xf numFmtId="0" fontId="38" fillId="0" borderId="6" xfId="0" applyFont="1" applyFill="1" applyBorder="1" applyAlignment="1">
      <alignment horizontal="left"/>
    </xf>
    <xf numFmtId="0" fontId="4" fillId="0" borderId="13" xfId="0" applyFont="1" applyFill="1" applyBorder="1"/>
    <xf numFmtId="1" fontId="0" fillId="0" borderId="0" xfId="0" applyNumberFormat="1"/>
    <xf numFmtId="3" fontId="5" fillId="0" borderId="0" xfId="0" applyNumberFormat="1" applyFont="1" applyFill="1" applyBorder="1" applyAlignment="1" applyProtection="1">
      <alignment vertical="top" wrapText="1"/>
    </xf>
    <xf numFmtId="3" fontId="0" fillId="0" borderId="0" xfId="0" applyNumberFormat="1"/>
    <xf numFmtId="0" fontId="24" fillId="0" borderId="0" xfId="0" applyFont="1" applyBorder="1" applyAlignment="1"/>
    <xf numFmtId="0" fontId="5" fillId="0" borderId="12" xfId="0" applyFont="1" applyFill="1" applyBorder="1"/>
    <xf numFmtId="0" fontId="5" fillId="0" borderId="6" xfId="0" applyFont="1" applyFill="1" applyBorder="1"/>
    <xf numFmtId="0" fontId="5" fillId="0" borderId="13" xfId="0" applyFont="1" applyFill="1" applyBorder="1"/>
    <xf numFmtId="0" fontId="4" fillId="0" borderId="4" xfId="0" applyFont="1" applyBorder="1" applyAlignment="1">
      <alignment horizontal="center" vertical="center" readingOrder="1"/>
    </xf>
    <xf numFmtId="0" fontId="4" fillId="0" borderId="3" xfId="0" applyFont="1" applyBorder="1" applyAlignment="1">
      <alignment horizontal="center" vertical="center"/>
    </xf>
    <xf numFmtId="0" fontId="2" fillId="0" borderId="0" xfId="2" applyAlignment="1" applyProtection="1"/>
    <xf numFmtId="0" fontId="5" fillId="0" borderId="15" xfId="0" applyFont="1" applyFill="1" applyBorder="1" applyAlignment="1" applyProtection="1">
      <alignment horizontal="left" vertical="center" wrapText="1"/>
      <protection hidden="1"/>
    </xf>
    <xf numFmtId="0" fontId="5" fillId="0" borderId="15" xfId="0" applyFont="1" applyFill="1" applyBorder="1" applyAlignment="1" applyProtection="1">
      <alignment horizontal="left" wrapText="1"/>
      <protection hidden="1"/>
    </xf>
    <xf numFmtId="0" fontId="5" fillId="0" borderId="15" xfId="0" applyFont="1" applyFill="1" applyBorder="1" applyAlignment="1" applyProtection="1">
      <alignment wrapText="1"/>
      <protection hidden="1"/>
    </xf>
    <xf numFmtId="49" fontId="5" fillId="0" borderId="15" xfId="0" applyNumberFormat="1" applyFont="1" applyFill="1" applyBorder="1" applyAlignment="1" applyProtection="1">
      <alignment horizontal="right" wrapText="1"/>
      <protection hidden="1"/>
    </xf>
    <xf numFmtId="0" fontId="0" fillId="0" borderId="1" xfId="0" applyBorder="1"/>
    <xf numFmtId="0" fontId="4" fillId="0" borderId="1" xfId="0" applyFont="1" applyBorder="1" applyAlignment="1">
      <alignment vertical="top"/>
    </xf>
    <xf numFmtId="0" fontId="4" fillId="0" borderId="12" xfId="0" applyFont="1" applyBorder="1" applyAlignment="1">
      <alignment horizontal="center" vertical="top" wrapText="1"/>
    </xf>
    <xf numFmtId="0" fontId="8" fillId="0" borderId="12" xfId="0" applyFont="1" applyBorder="1" applyAlignment="1">
      <alignment horizontal="center" vertical="top" wrapText="1"/>
    </xf>
    <xf numFmtId="0" fontId="4" fillId="0" borderId="11" xfId="0" applyFont="1" applyBorder="1" applyAlignment="1">
      <alignment horizontal="center" vertical="top"/>
    </xf>
    <xf numFmtId="0" fontId="4" fillId="0" borderId="1" xfId="0" applyFont="1" applyBorder="1" applyAlignment="1">
      <alignment horizontal="center" vertical="top"/>
    </xf>
    <xf numFmtId="0" fontId="4" fillId="0" borderId="11" xfId="0" applyFont="1" applyBorder="1" applyAlignment="1">
      <alignment horizontal="center" vertical="top" wrapText="1"/>
    </xf>
    <xf numFmtId="0" fontId="5" fillId="3" borderId="12" xfId="0" applyFont="1" applyFill="1" applyBorder="1" applyAlignment="1" applyProtection="1">
      <alignment horizontal="center" vertical="top" wrapText="1"/>
      <protection locked="0"/>
    </xf>
    <xf numFmtId="0" fontId="3" fillId="2" borderId="0" xfId="0" applyFont="1" applyFill="1" applyAlignment="1">
      <alignment horizontal="left"/>
    </xf>
    <xf numFmtId="0" fontId="3" fillId="2" borderId="1" xfId="0" applyFont="1" applyFill="1" applyBorder="1" applyAlignment="1">
      <alignment horizontal="center"/>
    </xf>
    <xf numFmtId="0" fontId="4" fillId="7" borderId="1" xfId="0" applyFont="1" applyFill="1" applyBorder="1" applyAlignment="1">
      <alignment horizontal="center" vertical="top" wrapText="1"/>
    </xf>
    <xf numFmtId="1" fontId="5" fillId="3" borderId="1" xfId="0" applyNumberFormat="1" applyFont="1" applyFill="1" applyBorder="1" applyAlignment="1" applyProtection="1">
      <alignment horizontal="right" vertical="top" wrapText="1"/>
      <protection locked="0"/>
    </xf>
    <xf numFmtId="0" fontId="41" fillId="0" borderId="0" xfId="0" applyFont="1"/>
    <xf numFmtId="0" fontId="41" fillId="0" borderId="1" xfId="0" applyFont="1" applyBorder="1" applyAlignment="1">
      <alignment horizontal="left" vertical="top" wrapText="1"/>
    </xf>
    <xf numFmtId="0" fontId="41" fillId="0" borderId="1" xfId="0" applyFont="1" applyBorder="1"/>
    <xf numFmtId="0" fontId="29" fillId="0" borderId="1" xfId="0" applyFont="1" applyFill="1" applyBorder="1" applyProtection="1"/>
    <xf numFmtId="0" fontId="0" fillId="3" borderId="1" xfId="0" applyFill="1" applyBorder="1" applyAlignment="1" applyProtection="1">
      <alignment horizontal="center"/>
      <protection locked="0"/>
    </xf>
    <xf numFmtId="0" fontId="41" fillId="0" borderId="1" xfId="0" applyFont="1" applyBorder="1" applyAlignment="1">
      <alignment horizontal="center"/>
    </xf>
    <xf numFmtId="1" fontId="15" fillId="0" borderId="1" xfId="0" applyNumberFormat="1" applyFont="1" applyFill="1" applyBorder="1" applyAlignment="1" applyProtection="1">
      <alignment horizontal="right" vertical="top" wrapText="1"/>
      <protection hidden="1"/>
    </xf>
    <xf numFmtId="0" fontId="44" fillId="0" borderId="0" xfId="0" applyFont="1" applyProtection="1">
      <protection hidden="1"/>
    </xf>
    <xf numFmtId="0" fontId="38" fillId="0" borderId="1" xfId="0" applyFont="1" applyBorder="1" applyAlignment="1">
      <alignment horizontal="left" vertical="top" wrapText="1"/>
    </xf>
    <xf numFmtId="0" fontId="22" fillId="0" borderId="1" xfId="0" applyFont="1" applyBorder="1" applyAlignment="1" applyProtection="1">
      <alignment horizontal="center" vertical="center"/>
      <protection hidden="1"/>
    </xf>
    <xf numFmtId="0" fontId="5" fillId="0" borderId="1" xfId="0" applyFont="1" applyBorder="1" applyAlignment="1">
      <alignment horizontal="center" vertical="center"/>
    </xf>
    <xf numFmtId="0" fontId="23" fillId="0" borderId="15" xfId="0" applyFont="1" applyFill="1" applyBorder="1" applyAlignment="1">
      <alignment horizontal="left" vertical="top" wrapText="1"/>
    </xf>
    <xf numFmtId="0" fontId="8" fillId="0" borderId="8" xfId="0" applyFont="1" applyBorder="1" applyAlignment="1">
      <alignment horizontal="center" vertical="top" wrapText="1"/>
    </xf>
    <xf numFmtId="0" fontId="5" fillId="0" borderId="4" xfId="0" applyFont="1" applyBorder="1" applyAlignment="1">
      <alignment vertical="top" wrapText="1"/>
    </xf>
    <xf numFmtId="0" fontId="0" fillId="0" borderId="0" xfId="0" applyAlignment="1"/>
    <xf numFmtId="0" fontId="10" fillId="0" borderId="0" xfId="0" applyFont="1" applyAlignment="1"/>
    <xf numFmtId="1" fontId="0" fillId="3" borderId="1" xfId="0" applyNumberFormat="1" applyFill="1" applyBorder="1" applyAlignment="1" applyProtection="1">
      <alignment horizontal="right"/>
      <protection locked="0"/>
    </xf>
    <xf numFmtId="1" fontId="29" fillId="0" borderId="1" xfId="0" applyNumberFormat="1" applyFont="1" applyBorder="1" applyAlignment="1" applyProtection="1">
      <alignment horizontal="right" vertical="top" wrapText="1"/>
      <protection hidden="1"/>
    </xf>
    <xf numFmtId="1" fontId="29" fillId="0" borderId="3" xfId="0" applyNumberFormat="1" applyFont="1" applyFill="1" applyBorder="1" applyAlignment="1" applyProtection="1">
      <alignment horizontal="right" vertical="top" wrapText="1"/>
      <protection hidden="1"/>
    </xf>
    <xf numFmtId="1" fontId="43" fillId="0" borderId="1" xfId="0" applyNumberFormat="1" applyFont="1" applyBorder="1"/>
    <xf numFmtId="11" fontId="5" fillId="3" borderId="1" xfId="0" applyNumberFormat="1" applyFont="1" applyFill="1" applyBorder="1" applyAlignment="1" applyProtection="1">
      <alignment horizontal="left" vertical="top" wrapText="1"/>
      <protection locked="0"/>
    </xf>
    <xf numFmtId="49" fontId="5" fillId="3" borderId="1" xfId="0" applyNumberFormat="1" applyFont="1" applyFill="1" applyBorder="1" applyAlignment="1" applyProtection="1">
      <alignment horizontal="left" vertical="top" wrapText="1"/>
      <protection locked="0"/>
    </xf>
    <xf numFmtId="1" fontId="0" fillId="0" borderId="1" xfId="0" applyNumberFormat="1" applyBorder="1"/>
    <xf numFmtId="1" fontId="14" fillId="0" borderId="1" xfId="0" applyNumberFormat="1" applyFont="1" applyBorder="1"/>
    <xf numFmtId="0" fontId="5" fillId="3" borderId="1" xfId="0" applyFont="1" applyFill="1" applyBorder="1" applyAlignment="1" applyProtection="1">
      <alignment horizontal="left" vertical="top" wrapText="1"/>
      <protection locked="0"/>
    </xf>
    <xf numFmtId="3" fontId="33" fillId="7" borderId="1" xfId="1" applyNumberFormat="1" applyFont="1" applyFill="1" applyBorder="1" applyAlignment="1" applyProtection="1">
      <alignment horizontal="right" vertical="center" wrapText="1"/>
      <protection hidden="1"/>
    </xf>
    <xf numFmtId="3" fontId="33" fillId="7" borderId="2" xfId="1" applyNumberFormat="1" applyFont="1" applyFill="1" applyBorder="1" applyAlignment="1" applyProtection="1">
      <alignment horizontal="right" vertical="center" wrapText="1"/>
      <protection hidden="1"/>
    </xf>
    <xf numFmtId="0" fontId="8" fillId="0" borderId="5" xfId="0" applyFont="1" applyBorder="1" applyAlignment="1">
      <alignment horizontal="left" vertical="top" wrapText="1"/>
    </xf>
    <xf numFmtId="0" fontId="8" fillId="0" borderId="0" xfId="0" applyFont="1" applyBorder="1" applyAlignment="1">
      <alignment horizontal="left" vertical="top" wrapText="1"/>
    </xf>
    <xf numFmtId="0" fontId="5" fillId="0" borderId="1" xfId="0" applyFont="1" applyBorder="1" applyAlignment="1">
      <alignment horizontal="center" vertical="center"/>
    </xf>
    <xf numFmtId="3" fontId="5" fillId="3" borderId="12" xfId="1" applyNumberFormat="1" applyFont="1" applyFill="1" applyBorder="1" applyAlignment="1" applyProtection="1">
      <alignment horizontal="right" vertical="top" wrapText="1"/>
      <protection locked="0"/>
    </xf>
    <xf numFmtId="3" fontId="5" fillId="3" borderId="6" xfId="1" applyNumberFormat="1" applyFont="1" applyFill="1" applyBorder="1" applyAlignment="1" applyProtection="1">
      <alignment horizontal="right" vertical="top" wrapText="1"/>
      <protection locked="0"/>
    </xf>
    <xf numFmtId="3" fontId="5" fillId="3" borderId="13" xfId="1" applyNumberFormat="1" applyFont="1" applyFill="1" applyBorder="1" applyAlignment="1" applyProtection="1">
      <alignment horizontal="right" vertical="top" wrapText="1"/>
      <protection locked="0"/>
    </xf>
    <xf numFmtId="3" fontId="33" fillId="0" borderId="12" xfId="1" applyNumberFormat="1" applyFont="1" applyFill="1" applyBorder="1" applyAlignment="1" applyProtection="1">
      <alignment horizontal="right" vertical="top" wrapText="1"/>
      <protection hidden="1"/>
    </xf>
    <xf numFmtId="3" fontId="33" fillId="0" borderId="6" xfId="1" applyNumberFormat="1" applyFont="1" applyFill="1" applyBorder="1" applyAlignment="1" applyProtection="1">
      <alignment horizontal="right" vertical="top" wrapText="1"/>
      <protection hidden="1"/>
    </xf>
    <xf numFmtId="3" fontId="33" fillId="0" borderId="13" xfId="1" applyNumberFormat="1" applyFont="1" applyFill="1" applyBorder="1" applyAlignment="1" applyProtection="1">
      <alignment horizontal="right" vertical="top" wrapText="1"/>
      <protection hidden="1"/>
    </xf>
    <xf numFmtId="0" fontId="4" fillId="0" borderId="9" xfId="0" applyFont="1" applyFill="1" applyBorder="1" applyAlignment="1">
      <alignment horizontal="center" vertical="top" wrapText="1"/>
    </xf>
    <xf numFmtId="0" fontId="4" fillId="0" borderId="14" xfId="0" applyFont="1" applyFill="1" applyBorder="1" applyAlignment="1">
      <alignment horizontal="center" vertical="top" wrapText="1"/>
    </xf>
    <xf numFmtId="0" fontId="4" fillId="0" borderId="1" xfId="0" applyFont="1" applyBorder="1" applyAlignment="1">
      <alignment horizontal="center" vertical="center"/>
    </xf>
    <xf numFmtId="0" fontId="4" fillId="0" borderId="7" xfId="0" applyFont="1" applyFill="1" applyBorder="1" applyAlignment="1">
      <alignment horizontal="left" vertical="top" wrapText="1"/>
    </xf>
    <xf numFmtId="0" fontId="4" fillId="0" borderId="15" xfId="0" applyFont="1" applyFill="1" applyBorder="1" applyAlignment="1">
      <alignment horizontal="left" vertical="top" wrapText="1"/>
    </xf>
    <xf numFmtId="0" fontId="8" fillId="0" borderId="7" xfId="0" applyFont="1" applyBorder="1" applyAlignment="1">
      <alignment horizontal="left" vertical="top" wrapText="1"/>
    </xf>
    <xf numFmtId="0" fontId="8" fillId="0" borderId="15" xfId="0" applyFont="1" applyBorder="1" applyAlignment="1">
      <alignment horizontal="left" vertical="top" wrapText="1"/>
    </xf>
    <xf numFmtId="0" fontId="8" fillId="0" borderId="8" xfId="0" applyFont="1" applyBorder="1" applyAlignment="1">
      <alignment horizontal="left" vertical="top" wrapText="1"/>
    </xf>
    <xf numFmtId="0" fontId="5" fillId="3" borderId="0" xfId="0" applyFont="1" applyFill="1" applyBorder="1" applyAlignment="1" applyProtection="1">
      <alignment horizontal="left" vertical="top" wrapText="1"/>
      <protection locked="0"/>
    </xf>
    <xf numFmtId="0" fontId="5" fillId="3" borderId="4" xfId="0" applyFont="1" applyFill="1" applyBorder="1" applyAlignment="1" applyProtection="1">
      <alignment horizontal="left" vertical="top" wrapText="1"/>
      <protection locked="0"/>
    </xf>
    <xf numFmtId="0" fontId="4" fillId="0" borderId="7" xfId="0" applyFont="1" applyBorder="1" applyAlignment="1">
      <alignment horizontal="left" vertical="top" wrapText="1"/>
    </xf>
    <xf numFmtId="0" fontId="4" fillId="0" borderId="15" xfId="0" applyFont="1" applyBorder="1" applyAlignment="1">
      <alignment horizontal="left" vertical="top" wrapText="1"/>
    </xf>
    <xf numFmtId="0" fontId="5" fillId="3" borderId="5" xfId="0" applyFont="1" applyFill="1" applyBorder="1" applyAlignment="1" applyProtection="1">
      <alignment horizontal="left" vertical="top" wrapText="1"/>
      <protection locked="0"/>
    </xf>
    <xf numFmtId="0" fontId="29" fillId="3" borderId="9" xfId="2" applyFont="1" applyFill="1" applyBorder="1" applyAlignment="1" applyProtection="1">
      <alignment horizontal="left" vertical="top" wrapText="1"/>
      <protection locked="0"/>
    </xf>
    <xf numFmtId="0" fontId="29" fillId="3" borderId="14" xfId="2" applyFont="1" applyFill="1" applyBorder="1" applyAlignment="1" applyProtection="1">
      <alignment horizontal="left" vertical="top" wrapText="1"/>
      <protection locked="0"/>
    </xf>
    <xf numFmtId="0" fontId="29" fillId="3" borderId="10" xfId="2" applyFont="1" applyFill="1" applyBorder="1" applyAlignment="1" applyProtection="1">
      <alignment horizontal="left" vertical="top" wrapText="1"/>
      <protection locked="0"/>
    </xf>
    <xf numFmtId="0" fontId="4" fillId="0" borderId="6" xfId="0" applyFont="1" applyBorder="1" applyAlignment="1">
      <alignment horizontal="left" vertical="center"/>
    </xf>
    <xf numFmtId="0" fontId="4" fillId="0" borderId="13" xfId="0" applyFont="1" applyBorder="1" applyAlignment="1">
      <alignment horizontal="left" vertical="center"/>
    </xf>
    <xf numFmtId="3" fontId="5" fillId="8" borderId="12" xfId="1" applyNumberFormat="1" applyFont="1" applyFill="1" applyBorder="1" applyAlignment="1" applyProtection="1">
      <alignment horizontal="right" vertical="center" wrapText="1"/>
      <protection locked="0"/>
    </xf>
    <xf numFmtId="3" fontId="5" fillId="8" borderId="6" xfId="1" applyNumberFormat="1" applyFont="1" applyFill="1" applyBorder="1" applyAlignment="1" applyProtection="1">
      <alignment horizontal="right" vertical="center" wrapText="1"/>
      <protection locked="0"/>
    </xf>
    <xf numFmtId="3" fontId="5" fillId="8" borderId="13" xfId="1" applyNumberFormat="1" applyFont="1" applyFill="1" applyBorder="1" applyAlignment="1" applyProtection="1">
      <alignment horizontal="right" vertical="center" wrapText="1"/>
      <protection locked="0"/>
    </xf>
    <xf numFmtId="0" fontId="4" fillId="0" borderId="12" xfId="0" applyFont="1" applyBorder="1" applyAlignment="1">
      <alignment horizontal="left" vertical="center"/>
    </xf>
    <xf numFmtId="3" fontId="33" fillId="7" borderId="12" xfId="1" applyNumberFormat="1" applyFont="1" applyFill="1" applyBorder="1" applyAlignment="1" applyProtection="1">
      <alignment horizontal="right" vertical="center" wrapText="1"/>
      <protection hidden="1"/>
    </xf>
    <xf numFmtId="3" fontId="33" fillId="7" borderId="6" xfId="1" applyNumberFormat="1" applyFont="1" applyFill="1" applyBorder="1" applyAlignment="1" applyProtection="1">
      <alignment horizontal="right" vertical="center" wrapText="1"/>
      <protection hidden="1"/>
    </xf>
    <xf numFmtId="3" fontId="33" fillId="7" borderId="13" xfId="1" applyNumberFormat="1" applyFont="1" applyFill="1" applyBorder="1" applyAlignment="1" applyProtection="1">
      <alignment horizontal="right" vertical="center" wrapText="1"/>
      <protection hidden="1"/>
    </xf>
    <xf numFmtId="0" fontId="4" fillId="0" borderId="1" xfId="0" applyFont="1" applyBorder="1" applyAlignment="1">
      <alignment horizontal="center" vertical="center" textRotation="90"/>
    </xf>
    <xf numFmtId="3" fontId="5" fillId="3" borderId="12" xfId="1" applyNumberFormat="1" applyFont="1" applyFill="1" applyBorder="1" applyAlignment="1" applyProtection="1">
      <alignment horizontal="right" vertical="center" wrapText="1"/>
      <protection locked="0"/>
    </xf>
    <xf numFmtId="3" fontId="5" fillId="3" borderId="6" xfId="1" applyNumberFormat="1" applyFont="1" applyFill="1" applyBorder="1" applyAlignment="1" applyProtection="1">
      <alignment horizontal="right" vertical="center" wrapText="1"/>
      <protection locked="0"/>
    </xf>
    <xf numFmtId="3" fontId="5" fillId="3" borderId="13" xfId="1" applyNumberFormat="1" applyFont="1" applyFill="1" applyBorder="1" applyAlignment="1" applyProtection="1">
      <alignment horizontal="right" vertical="center" wrapText="1"/>
      <protection locked="0"/>
    </xf>
    <xf numFmtId="0" fontId="14" fillId="0" borderId="12" xfId="0" applyFont="1" applyBorder="1" applyAlignment="1">
      <alignment horizontal="left" vertical="center"/>
    </xf>
    <xf numFmtId="0" fontId="14" fillId="0" borderId="6" xfId="0" applyFont="1" applyBorder="1" applyAlignment="1">
      <alignment horizontal="left" vertical="center"/>
    </xf>
    <xf numFmtId="0" fontId="14" fillId="0" borderId="13" xfId="0" applyFont="1" applyBorder="1" applyAlignment="1">
      <alignment horizontal="left" vertical="center"/>
    </xf>
    <xf numFmtId="0" fontId="4" fillId="0" borderId="9" xfId="0" applyFont="1" applyBorder="1" applyAlignment="1">
      <alignment horizontal="right" vertical="center"/>
    </xf>
    <xf numFmtId="0" fontId="4" fillId="0" borderId="10" xfId="0" applyFont="1" applyBorder="1" applyAlignment="1">
      <alignment horizontal="right" vertical="center"/>
    </xf>
    <xf numFmtId="0" fontId="4" fillId="0" borderId="5" xfId="0" applyFont="1" applyBorder="1" applyAlignment="1">
      <alignment horizontal="right" vertical="center"/>
    </xf>
    <xf numFmtId="0" fontId="4" fillId="0" borderId="4" xfId="0" applyFont="1" applyBorder="1" applyAlignment="1">
      <alignment horizontal="right" vertical="center"/>
    </xf>
    <xf numFmtId="3" fontId="5" fillId="3" borderId="12" xfId="1" applyNumberFormat="1" applyFont="1" applyFill="1" applyBorder="1" applyAlignment="1" applyProtection="1">
      <alignment horizontal="right" vertical="center" wrapText="1"/>
      <protection hidden="1"/>
    </xf>
    <xf numFmtId="3" fontId="5" fillId="3" borderId="6" xfId="1" applyNumberFormat="1" applyFont="1" applyFill="1" applyBorder="1" applyAlignment="1" applyProtection="1">
      <alignment horizontal="right" vertical="center" wrapText="1"/>
      <protection hidden="1"/>
    </xf>
    <xf numFmtId="3" fontId="5" fillId="3" borderId="13" xfId="1" applyNumberFormat="1" applyFont="1" applyFill="1" applyBorder="1" applyAlignment="1" applyProtection="1">
      <alignment horizontal="right" vertical="center" wrapText="1"/>
      <protection hidden="1"/>
    </xf>
    <xf numFmtId="0" fontId="14" fillId="0" borderId="15" xfId="0" applyFont="1" applyBorder="1" applyAlignment="1">
      <alignment horizontal="left" vertical="center"/>
    </xf>
    <xf numFmtId="0" fontId="4" fillId="0" borderId="13" xfId="0" applyFont="1" applyBorder="1" applyAlignment="1">
      <alignment horizontal="center" vertical="center"/>
    </xf>
    <xf numFmtId="0" fontId="4" fillId="0" borderId="1" xfId="0" applyFont="1" applyFill="1" applyBorder="1" applyAlignment="1" applyProtection="1">
      <alignment horizontal="left" vertical="center"/>
    </xf>
    <xf numFmtId="0" fontId="5" fillId="0" borderId="7" xfId="0" applyFont="1" applyBorder="1" applyAlignment="1">
      <alignment horizontal="center" vertical="center"/>
    </xf>
    <xf numFmtId="0" fontId="5" fillId="0" borderId="15"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center" vertical="center"/>
    </xf>
    <xf numFmtId="0" fontId="26" fillId="0" borderId="5" xfId="0" applyFont="1" applyBorder="1" applyAlignment="1">
      <alignment horizontal="left" vertical="top" wrapText="1"/>
    </xf>
    <xf numFmtId="0" fontId="26" fillId="0" borderId="0" xfId="0" applyFont="1" applyBorder="1" applyAlignment="1">
      <alignment horizontal="left" vertical="top" wrapText="1"/>
    </xf>
    <xf numFmtId="0" fontId="4" fillId="0" borderId="7" xfId="0" applyFont="1" applyBorder="1" applyAlignment="1">
      <alignment horizontal="right" vertical="center"/>
    </xf>
    <xf numFmtId="0" fontId="4" fillId="0" borderId="8" xfId="0" applyFont="1" applyBorder="1" applyAlignment="1">
      <alignment horizontal="right" vertical="center"/>
    </xf>
    <xf numFmtId="0" fontId="26" fillId="0" borderId="15" xfId="0" applyFont="1" applyBorder="1" applyAlignment="1">
      <alignment horizontal="left" vertical="top" wrapText="1"/>
    </xf>
    <xf numFmtId="0" fontId="26" fillId="0" borderId="8" xfId="0" applyFont="1" applyBorder="1" applyAlignment="1">
      <alignment horizontal="left" vertical="top" wrapText="1"/>
    </xf>
    <xf numFmtId="0" fontId="26" fillId="0" borderId="4" xfId="0" applyFont="1" applyBorder="1" applyAlignment="1">
      <alignment horizontal="left" vertical="top" wrapText="1"/>
    </xf>
    <xf numFmtId="0" fontId="5" fillId="4" borderId="1" xfId="0" applyFont="1" applyFill="1" applyBorder="1" applyAlignment="1">
      <alignment horizontal="center" vertical="center"/>
    </xf>
    <xf numFmtId="3" fontId="5" fillId="7" borderId="12" xfId="1" applyNumberFormat="1" applyFont="1" applyFill="1" applyBorder="1" applyAlignment="1" applyProtection="1">
      <alignment horizontal="right" vertical="center" wrapText="1"/>
      <protection hidden="1"/>
    </xf>
    <xf numFmtId="3" fontId="5" fillId="7" borderId="6" xfId="1" applyNumberFormat="1" applyFont="1" applyFill="1" applyBorder="1" applyAlignment="1" applyProtection="1">
      <alignment horizontal="right" vertical="center" wrapText="1"/>
      <protection hidden="1"/>
    </xf>
    <xf numFmtId="3" fontId="5" fillId="7" borderId="13" xfId="1" applyNumberFormat="1" applyFont="1" applyFill="1" applyBorder="1" applyAlignment="1" applyProtection="1">
      <alignment horizontal="right" vertical="center" wrapText="1"/>
      <protection hidden="1"/>
    </xf>
    <xf numFmtId="0" fontId="4" fillId="0" borderId="12" xfId="0" applyFont="1" applyFill="1" applyBorder="1" applyAlignment="1" applyProtection="1">
      <alignment horizontal="left" vertical="center"/>
    </xf>
    <xf numFmtId="0" fontId="4" fillId="0" borderId="6" xfId="0" applyFont="1" applyFill="1" applyBorder="1" applyAlignment="1" applyProtection="1">
      <alignment horizontal="left" vertical="center"/>
    </xf>
    <xf numFmtId="0" fontId="4" fillId="0" borderId="13" xfId="0" applyFont="1" applyFill="1" applyBorder="1" applyAlignment="1" applyProtection="1">
      <alignment horizontal="left" vertical="center"/>
    </xf>
    <xf numFmtId="0" fontId="30" fillId="0" borderId="12" xfId="0" applyFont="1" applyBorder="1" applyAlignment="1">
      <alignment horizontal="left" vertical="center"/>
    </xf>
    <xf numFmtId="0" fontId="30" fillId="0" borderId="6" xfId="0" applyFont="1" applyBorder="1" applyAlignment="1">
      <alignment horizontal="left" vertical="center"/>
    </xf>
    <xf numFmtId="0" fontId="4" fillId="0" borderId="1" xfId="0" applyFont="1" applyBorder="1" applyAlignment="1">
      <alignment horizontal="left" vertical="center"/>
    </xf>
    <xf numFmtId="0" fontId="4" fillId="0" borderId="12" xfId="0" applyFont="1" applyBorder="1" applyAlignment="1">
      <alignment horizontal="center"/>
    </xf>
    <xf numFmtId="0" fontId="4" fillId="0" borderId="13" xfId="0" applyFont="1" applyBorder="1" applyAlignment="1">
      <alignment horizontal="center"/>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0" fontId="4" fillId="0" borderId="13" xfId="0" applyFont="1" applyBorder="1" applyAlignment="1">
      <alignment horizontal="left" vertical="top" wrapText="1"/>
    </xf>
    <xf numFmtId="0" fontId="4" fillId="0" borderId="7" xfId="0" applyFont="1" applyBorder="1" applyAlignment="1">
      <alignment horizontal="center" vertical="center" textRotation="90" wrapText="1"/>
    </xf>
    <xf numFmtId="0" fontId="4" fillId="0" borderId="8" xfId="0" applyFont="1" applyBorder="1" applyAlignment="1">
      <alignment horizontal="center" vertical="center" textRotation="90" wrapText="1"/>
    </xf>
    <xf numFmtId="0" fontId="4" fillId="0" borderId="5" xfId="0" applyFont="1" applyBorder="1" applyAlignment="1">
      <alignment horizontal="center" vertical="center" textRotation="90" wrapText="1"/>
    </xf>
    <xf numFmtId="0" fontId="4" fillId="0" borderId="4" xfId="0" applyFont="1" applyBorder="1" applyAlignment="1">
      <alignment horizontal="center" vertical="center" textRotation="90" wrapText="1"/>
    </xf>
    <xf numFmtId="0" fontId="4" fillId="0" borderId="9" xfId="0" applyFont="1" applyBorder="1" applyAlignment="1">
      <alignment horizontal="center" vertical="center" textRotation="90" wrapText="1"/>
    </xf>
    <xf numFmtId="0" fontId="4" fillId="0" borderId="10" xfId="0" applyFont="1" applyBorder="1" applyAlignment="1">
      <alignment horizontal="center" vertical="center" textRotation="90" wrapText="1"/>
    </xf>
    <xf numFmtId="0" fontId="5" fillId="0" borderId="12" xfId="0" applyFont="1" applyBorder="1" applyAlignment="1">
      <alignment horizontal="center" vertical="center"/>
    </xf>
    <xf numFmtId="0" fontId="5" fillId="0" borderId="6" xfId="0" applyFont="1" applyBorder="1" applyAlignment="1">
      <alignment horizontal="center" vertical="center"/>
    </xf>
    <xf numFmtId="0" fontId="5" fillId="0" borderId="13" xfId="0" applyFont="1" applyBorder="1" applyAlignment="1">
      <alignment horizontal="center" vertical="center"/>
    </xf>
    <xf numFmtId="0" fontId="5" fillId="0" borderId="0" xfId="0" applyFont="1" applyBorder="1" applyAlignment="1">
      <alignment horizontal="center" vertical="top" wrapText="1"/>
    </xf>
    <xf numFmtId="0" fontId="5" fillId="0" borderId="4" xfId="0" applyFont="1" applyBorder="1" applyAlignment="1">
      <alignment horizontal="center" vertical="top" wrapText="1"/>
    </xf>
    <xf numFmtId="0" fontId="4" fillId="0" borderId="14" xfId="0" applyFont="1" applyFill="1" applyBorder="1" applyAlignment="1">
      <alignment horizontal="left" vertical="top" wrapText="1"/>
    </xf>
    <xf numFmtId="0" fontId="5" fillId="0" borderId="9" xfId="0" applyFont="1" applyBorder="1" applyAlignment="1">
      <alignment horizontal="left" vertical="top" wrapText="1"/>
    </xf>
    <xf numFmtId="0" fontId="5" fillId="0" borderId="14" xfId="0" applyFont="1" applyBorder="1" applyAlignment="1">
      <alignment horizontal="left" vertical="top" wrapText="1"/>
    </xf>
    <xf numFmtId="0" fontId="5" fillId="0" borderId="10" xfId="0" applyFont="1" applyBorder="1" applyAlignment="1">
      <alignment horizontal="left" vertical="top" wrapText="1"/>
    </xf>
    <xf numFmtId="0" fontId="5" fillId="3" borderId="7" xfId="0" applyFont="1" applyFill="1" applyBorder="1" applyAlignment="1" applyProtection="1">
      <alignment horizontal="center" vertical="top" wrapText="1"/>
      <protection locked="0"/>
    </xf>
    <xf numFmtId="0" fontId="5" fillId="3" borderId="15" xfId="0" applyFont="1" applyFill="1" applyBorder="1" applyAlignment="1" applyProtection="1">
      <alignment horizontal="center" vertical="top" wrapText="1"/>
      <protection locked="0"/>
    </xf>
    <xf numFmtId="0" fontId="5" fillId="3" borderId="15" xfId="0" applyFont="1" applyFill="1" applyBorder="1" applyAlignment="1" applyProtection="1">
      <alignment horizontal="left" vertical="top" wrapText="1"/>
      <protection locked="0"/>
    </xf>
    <xf numFmtId="0" fontId="4" fillId="0" borderId="9" xfId="0" applyFont="1" applyBorder="1" applyAlignment="1">
      <alignment horizontal="left" vertical="top" wrapText="1"/>
    </xf>
    <xf numFmtId="0" fontId="4" fillId="0" borderId="14" xfId="0" applyFont="1" applyBorder="1" applyAlignment="1">
      <alignment horizontal="left" vertical="top" wrapText="1"/>
    </xf>
    <xf numFmtId="0" fontId="5" fillId="3" borderId="14" xfId="0" applyFont="1" applyFill="1" applyBorder="1" applyAlignment="1" applyProtection="1">
      <alignment horizontal="left" vertical="top" wrapText="1"/>
      <protection locked="0"/>
    </xf>
    <xf numFmtId="0" fontId="46" fillId="0" borderId="7" xfId="0" applyFont="1" applyFill="1" applyBorder="1" applyAlignment="1">
      <alignment horizontal="left" vertical="top" wrapText="1"/>
    </xf>
    <xf numFmtId="0" fontId="46" fillId="0" borderId="15" xfId="0" applyFont="1" applyFill="1" applyBorder="1" applyAlignment="1">
      <alignment horizontal="left" vertical="top" wrapText="1"/>
    </xf>
    <xf numFmtId="0" fontId="4" fillId="0" borderId="0" xfId="0" applyFont="1" applyBorder="1" applyAlignment="1">
      <alignment horizontal="center" vertical="center" textRotation="90" wrapText="1"/>
    </xf>
    <xf numFmtId="0" fontId="4" fillId="0" borderId="14" xfId="0" applyFont="1" applyBorder="1" applyAlignment="1">
      <alignment horizontal="center" vertical="center" textRotation="90" wrapText="1"/>
    </xf>
    <xf numFmtId="0" fontId="6" fillId="0" borderId="0" xfId="0" applyFont="1" applyBorder="1" applyAlignment="1">
      <alignment horizontal="center" vertical="top" wrapText="1"/>
    </xf>
    <xf numFmtId="0" fontId="6" fillId="0" borderId="4" xfId="0" applyFont="1" applyBorder="1" applyAlignment="1">
      <alignment horizontal="center" vertical="top" wrapText="1"/>
    </xf>
    <xf numFmtId="49" fontId="5" fillId="3" borderId="5" xfId="0" applyNumberFormat="1" applyFont="1" applyFill="1" applyBorder="1" applyAlignment="1" applyProtection="1">
      <alignment vertical="top" wrapText="1"/>
      <protection locked="0"/>
    </xf>
    <xf numFmtId="49" fontId="5" fillId="3" borderId="0" xfId="0" applyNumberFormat="1" applyFont="1" applyFill="1" applyBorder="1" applyAlignment="1" applyProtection="1">
      <alignment vertical="top" wrapText="1"/>
      <protection locked="0"/>
    </xf>
    <xf numFmtId="49" fontId="5" fillId="3" borderId="4" xfId="0" applyNumberFormat="1" applyFont="1" applyFill="1" applyBorder="1" applyAlignment="1" applyProtection="1">
      <alignment vertical="top" wrapText="1"/>
      <protection locked="0"/>
    </xf>
    <xf numFmtId="0" fontId="4" fillId="0" borderId="15" xfId="0" applyFont="1" applyBorder="1" applyAlignment="1">
      <alignment horizontal="center" vertical="center" textRotation="90" wrapText="1"/>
    </xf>
    <xf numFmtId="0" fontId="7" fillId="0" borderId="15" xfId="0" applyFont="1" applyBorder="1" applyAlignment="1">
      <alignment horizontal="left" vertical="top" wrapText="1"/>
    </xf>
    <xf numFmtId="0" fontId="7" fillId="0" borderId="8" xfId="0" applyFont="1" applyBorder="1" applyAlignment="1">
      <alignment horizontal="left" vertical="top" wrapText="1"/>
    </xf>
    <xf numFmtId="0" fontId="8" fillId="0" borderId="7" xfId="0" applyFont="1" applyFill="1" applyBorder="1" applyAlignment="1" applyProtection="1">
      <alignment horizontal="left" vertical="top" wrapText="1"/>
    </xf>
    <xf numFmtId="0" fontId="8" fillId="0" borderId="15" xfId="0" applyFont="1" applyFill="1" applyBorder="1" applyAlignment="1" applyProtection="1">
      <alignment horizontal="left" vertical="top" wrapText="1"/>
    </xf>
    <xf numFmtId="0" fontId="8" fillId="0" borderId="8" xfId="0" applyFont="1" applyFill="1" applyBorder="1" applyAlignment="1" applyProtection="1">
      <alignment horizontal="left" vertical="top" wrapText="1"/>
    </xf>
    <xf numFmtId="0" fontId="5" fillId="0" borderId="5" xfId="0" applyFont="1" applyFill="1" applyBorder="1" applyAlignment="1" applyProtection="1">
      <alignment horizontal="left" vertical="top" wrapText="1"/>
    </xf>
    <xf numFmtId="0" fontId="5" fillId="0" borderId="0" xfId="0" applyFont="1" applyFill="1" applyBorder="1" applyAlignment="1" applyProtection="1">
      <alignment horizontal="left" vertical="top" wrapText="1"/>
    </xf>
    <xf numFmtId="0" fontId="5" fillId="0" borderId="4" xfId="0" applyFont="1" applyFill="1" applyBorder="1" applyAlignment="1" applyProtection="1">
      <alignment horizontal="left" vertical="top" wrapText="1"/>
    </xf>
    <xf numFmtId="49" fontId="5" fillId="3" borderId="0" xfId="0" applyNumberFormat="1" applyFont="1" applyFill="1" applyBorder="1" applyAlignment="1" applyProtection="1">
      <alignment horizontal="center" vertical="top" wrapText="1"/>
      <protection locked="0"/>
    </xf>
    <xf numFmtId="49" fontId="5" fillId="3" borderId="5" xfId="0" applyNumberFormat="1" applyFont="1" applyFill="1" applyBorder="1" applyAlignment="1" applyProtection="1">
      <alignment horizontal="left" vertical="top" wrapText="1"/>
      <protection locked="0"/>
    </xf>
    <xf numFmtId="49" fontId="5" fillId="3" borderId="0" xfId="0" applyNumberFormat="1" applyFont="1" applyFill="1" applyBorder="1" applyAlignment="1" applyProtection="1">
      <alignment horizontal="left" vertical="top" wrapText="1"/>
      <protection locked="0"/>
    </xf>
    <xf numFmtId="49" fontId="5" fillId="3" borderId="4" xfId="0" applyNumberFormat="1" applyFont="1" applyFill="1" applyBorder="1" applyAlignment="1" applyProtection="1">
      <alignment horizontal="left" vertical="top" wrapText="1"/>
      <protection locked="0"/>
    </xf>
    <xf numFmtId="49" fontId="5" fillId="0" borderId="0" xfId="0" applyNumberFormat="1" applyFont="1" applyFill="1" applyBorder="1" applyAlignment="1" applyProtection="1">
      <alignment horizontal="center" vertical="top" wrapText="1"/>
    </xf>
    <xf numFmtId="3" fontId="5" fillId="3" borderId="9" xfId="1" applyNumberFormat="1" applyFont="1" applyFill="1" applyBorder="1" applyAlignment="1" applyProtection="1">
      <alignment horizontal="right" vertical="center" wrapText="1"/>
      <protection locked="0"/>
    </xf>
    <xf numFmtId="3" fontId="5" fillId="3" borderId="14" xfId="1" applyNumberFormat="1" applyFont="1" applyFill="1" applyBorder="1" applyAlignment="1" applyProtection="1">
      <alignment horizontal="right" vertical="center" wrapText="1"/>
      <protection locked="0"/>
    </xf>
    <xf numFmtId="3" fontId="5" fillId="3" borderId="10" xfId="1" applyNumberFormat="1" applyFont="1" applyFill="1" applyBorder="1" applyAlignment="1" applyProtection="1">
      <alignment horizontal="right" vertical="center" wrapText="1"/>
      <protection locked="0"/>
    </xf>
    <xf numFmtId="0" fontId="4" fillId="0" borderId="3" xfId="0" applyFont="1" applyBorder="1" applyAlignment="1">
      <alignment horizontal="left" vertical="center"/>
    </xf>
    <xf numFmtId="0" fontId="14" fillId="0" borderId="12" xfId="0" applyFont="1" applyBorder="1" applyAlignment="1">
      <alignment horizontal="left" vertical="top" wrapText="1"/>
    </xf>
    <xf numFmtId="0" fontId="14" fillId="0" borderId="6" xfId="0" applyFont="1" applyBorder="1" applyAlignment="1">
      <alignment horizontal="left" vertical="top" wrapText="1"/>
    </xf>
    <xf numFmtId="0" fontId="14" fillId="0" borderId="13" xfId="0" applyFont="1" applyBorder="1" applyAlignment="1">
      <alignment horizontal="left" vertical="top" wrapText="1"/>
    </xf>
    <xf numFmtId="0" fontId="5" fillId="0" borderId="5" xfId="0" applyFont="1" applyBorder="1" applyAlignment="1">
      <alignment horizontal="left" vertical="top" wrapText="1"/>
    </xf>
    <xf numFmtId="0" fontId="5" fillId="0" borderId="0" xfId="0" applyFont="1" applyBorder="1" applyAlignment="1">
      <alignment horizontal="left" vertical="top" wrapText="1"/>
    </xf>
    <xf numFmtId="0" fontId="5" fillId="0" borderId="15" xfId="0" applyFont="1" applyBorder="1" applyAlignment="1">
      <alignment horizontal="left" vertical="top" wrapText="1"/>
    </xf>
    <xf numFmtId="0" fontId="5" fillId="0" borderId="8" xfId="0" applyFont="1" applyBorder="1" applyAlignment="1">
      <alignment horizontal="left" vertical="top" wrapText="1"/>
    </xf>
    <xf numFmtId="0" fontId="8" fillId="0" borderId="12" xfId="0" applyFont="1" applyBorder="1" applyAlignment="1">
      <alignment horizontal="left" vertical="top" wrapText="1"/>
    </xf>
    <xf numFmtId="0" fontId="23" fillId="0" borderId="6" xfId="0" applyFont="1" applyBorder="1" applyAlignment="1">
      <alignment horizontal="left" vertical="top" wrapText="1"/>
    </xf>
    <xf numFmtId="49" fontId="5" fillId="3" borderId="14" xfId="0" applyNumberFormat="1" applyFont="1" applyFill="1" applyBorder="1" applyAlignment="1" applyProtection="1">
      <alignment horizontal="left" vertical="top" wrapText="1"/>
      <protection locked="0"/>
    </xf>
    <xf numFmtId="49" fontId="5" fillId="3" borderId="10" xfId="0" applyNumberFormat="1" applyFont="1" applyFill="1" applyBorder="1" applyAlignment="1" applyProtection="1">
      <alignment horizontal="left" vertical="top" wrapText="1"/>
      <protection locked="0"/>
    </xf>
    <xf numFmtId="0" fontId="5" fillId="0" borderId="0" xfId="0" applyFont="1" applyBorder="1" applyAlignment="1">
      <alignment horizontal="center" vertical="center" textRotation="90"/>
    </xf>
    <xf numFmtId="0" fontId="5" fillId="0" borderId="12" xfId="0" applyFont="1" applyBorder="1" applyAlignment="1">
      <alignment horizontal="center" vertical="center" textRotation="90"/>
    </xf>
    <xf numFmtId="0" fontId="5" fillId="0" borderId="6" xfId="0" applyFont="1" applyBorder="1" applyAlignment="1">
      <alignment horizontal="center" vertical="center" textRotation="90"/>
    </xf>
    <xf numFmtId="0" fontId="4" fillId="0" borderId="9" xfId="0" applyFont="1" applyFill="1" applyBorder="1" applyAlignment="1">
      <alignment horizontal="left" vertical="top" wrapText="1"/>
    </xf>
    <xf numFmtId="0" fontId="4" fillId="0" borderId="5" xfId="0" applyFont="1" applyBorder="1" applyAlignment="1">
      <alignment horizontal="center" vertical="center" textRotation="90"/>
    </xf>
    <xf numFmtId="0" fontId="4" fillId="0" borderId="4" xfId="0" applyFont="1" applyBorder="1" applyAlignment="1">
      <alignment horizontal="center" vertical="center" textRotation="90"/>
    </xf>
    <xf numFmtId="0" fontId="4" fillId="0" borderId="5" xfId="0" applyFont="1" applyBorder="1" applyAlignment="1">
      <alignment horizontal="center" vertical="top" wrapText="1"/>
    </xf>
    <xf numFmtId="0" fontId="4" fillId="0" borderId="0" xfId="0" applyFont="1" applyBorder="1" applyAlignment="1">
      <alignment horizontal="center" vertical="top" wrapText="1"/>
    </xf>
    <xf numFmtId="0" fontId="4" fillId="0" borderId="4" xfId="0" applyFont="1" applyBorder="1" applyAlignment="1">
      <alignment horizontal="center" vertical="top" wrapText="1"/>
    </xf>
    <xf numFmtId="0" fontId="30" fillId="0" borderId="1" xfId="0" applyFont="1" applyFill="1" applyBorder="1" applyAlignment="1">
      <alignment horizontal="center" vertical="center"/>
    </xf>
    <xf numFmtId="0" fontId="5" fillId="0" borderId="4" xfId="0" applyFont="1" applyBorder="1" applyAlignment="1">
      <alignment horizontal="left" vertical="top" wrapText="1"/>
    </xf>
    <xf numFmtId="1" fontId="5" fillId="3" borderId="14" xfId="0" applyNumberFormat="1" applyFont="1" applyFill="1" applyBorder="1" applyAlignment="1" applyProtection="1">
      <alignment horizontal="left" vertical="top" wrapText="1"/>
      <protection locked="0"/>
    </xf>
    <xf numFmtId="1" fontId="5" fillId="3" borderId="10" xfId="0" applyNumberFormat="1" applyFont="1" applyFill="1" applyBorder="1" applyAlignment="1" applyProtection="1">
      <alignment horizontal="left" vertical="top" wrapText="1"/>
      <protection locked="0"/>
    </xf>
    <xf numFmtId="0" fontId="4" fillId="0" borderId="12" xfId="0" applyFont="1" applyFill="1" applyBorder="1" applyAlignment="1">
      <alignment horizontal="left" vertical="top" wrapText="1"/>
    </xf>
    <xf numFmtId="0" fontId="4" fillId="0" borderId="6" xfId="0" applyFont="1" applyFill="1" applyBorder="1" applyAlignment="1">
      <alignment horizontal="left" vertical="top" wrapText="1"/>
    </xf>
    <xf numFmtId="0" fontId="5" fillId="0" borderId="5" xfId="0" applyFont="1" applyFill="1" applyBorder="1" applyAlignment="1" applyProtection="1">
      <alignment horizontal="center" vertical="top" wrapText="1"/>
    </xf>
    <xf numFmtId="0" fontId="5" fillId="0" borderId="0" xfId="0" applyFont="1" applyFill="1" applyBorder="1" applyAlignment="1" applyProtection="1">
      <alignment horizontal="center" vertical="top" wrapText="1"/>
    </xf>
    <xf numFmtId="0" fontId="5" fillId="0" borderId="4" xfId="0" applyFont="1" applyFill="1" applyBorder="1" applyAlignment="1" applyProtection="1">
      <alignment horizontal="center" vertical="top" wrapText="1"/>
    </xf>
    <xf numFmtId="0" fontId="8" fillId="0" borderId="7" xfId="0" applyFont="1" applyBorder="1" applyAlignment="1">
      <alignment horizontal="center" vertical="top" wrapText="1"/>
    </xf>
    <xf numFmtId="0" fontId="8" fillId="0" borderId="15" xfId="0" applyFont="1" applyBorder="1" applyAlignment="1">
      <alignment horizontal="center" vertical="top" wrapText="1"/>
    </xf>
    <xf numFmtId="0" fontId="5" fillId="3" borderId="5" xfId="2" applyFont="1" applyFill="1" applyBorder="1" applyAlignment="1" applyProtection="1">
      <alignment horizontal="left" vertical="top" wrapText="1"/>
      <protection locked="0"/>
    </xf>
    <xf numFmtId="0" fontId="0" fillId="0" borderId="0" xfId="0" applyBorder="1" applyProtection="1">
      <protection locked="0"/>
    </xf>
    <xf numFmtId="0" fontId="5" fillId="3" borderId="0" xfId="0" applyFont="1" applyFill="1" applyBorder="1" applyAlignment="1" applyProtection="1">
      <alignment horizontal="center" vertical="top" wrapText="1"/>
      <protection locked="0"/>
    </xf>
    <xf numFmtId="0" fontId="5" fillId="3" borderId="10" xfId="0" applyFont="1" applyFill="1" applyBorder="1" applyAlignment="1" applyProtection="1">
      <alignment horizontal="left" vertical="top" wrapText="1"/>
      <protection locked="0"/>
    </xf>
    <xf numFmtId="0" fontId="4" fillId="0" borderId="0" xfId="0" applyFont="1" applyBorder="1" applyAlignment="1">
      <alignment horizontal="left"/>
    </xf>
    <xf numFmtId="0" fontId="4" fillId="0" borderId="12" xfId="0" applyFont="1" applyBorder="1" applyAlignment="1">
      <alignment horizontal="center" vertical="center"/>
    </xf>
    <xf numFmtId="3" fontId="5" fillId="3" borderId="12" xfId="1" applyNumberFormat="1" applyFont="1" applyFill="1" applyBorder="1" applyAlignment="1" applyProtection="1">
      <alignment horizontal="right" vertical="top" wrapText="1"/>
      <protection hidden="1"/>
    </xf>
    <xf numFmtId="3" fontId="5" fillId="3" borderId="6" xfId="1" applyNumberFormat="1" applyFont="1" applyFill="1" applyBorder="1" applyAlignment="1" applyProtection="1">
      <alignment horizontal="right" vertical="top" wrapText="1"/>
      <protection hidden="1"/>
    </xf>
    <xf numFmtId="3" fontId="5" fillId="3" borderId="13" xfId="1" applyNumberFormat="1" applyFont="1" applyFill="1" applyBorder="1" applyAlignment="1" applyProtection="1">
      <alignment horizontal="right" vertical="top" wrapText="1"/>
      <protection hidden="1"/>
    </xf>
    <xf numFmtId="0" fontId="7" fillId="0" borderId="7" xfId="0" applyFont="1" applyBorder="1" applyAlignment="1">
      <alignment horizontal="center" vertical="top" wrapText="1"/>
    </xf>
    <xf numFmtId="0" fontId="7" fillId="0" borderId="15" xfId="0" applyFont="1" applyBorder="1" applyAlignment="1">
      <alignment horizontal="center" vertical="top" wrapText="1"/>
    </xf>
    <xf numFmtId="0" fontId="7" fillId="0" borderId="8" xfId="0" applyFont="1" applyBorder="1" applyAlignment="1">
      <alignment horizontal="center" vertical="top" wrapText="1"/>
    </xf>
    <xf numFmtId="0" fontId="7" fillId="0" borderId="5" xfId="0" applyFont="1" applyBorder="1" applyAlignment="1">
      <alignment horizontal="center" vertical="top" wrapText="1"/>
    </xf>
    <xf numFmtId="0" fontId="7" fillId="0" borderId="0" xfId="0" applyFont="1" applyBorder="1" applyAlignment="1">
      <alignment horizontal="center" vertical="top" wrapText="1"/>
    </xf>
    <xf numFmtId="0" fontId="7" fillId="0" borderId="4" xfId="0" applyFont="1" applyBorder="1" applyAlignment="1">
      <alignment horizontal="center" vertical="top" wrapText="1"/>
    </xf>
    <xf numFmtId="49" fontId="5" fillId="3" borderId="6" xfId="0" applyNumberFormat="1" applyFont="1" applyFill="1" applyBorder="1" applyAlignment="1" applyProtection="1">
      <alignment horizontal="left" vertical="top" wrapText="1"/>
      <protection locked="0"/>
    </xf>
    <xf numFmtId="49" fontId="5" fillId="3" borderId="13" xfId="0" applyNumberFormat="1" applyFont="1" applyFill="1" applyBorder="1" applyAlignment="1" applyProtection="1">
      <alignment horizontal="left" vertical="top" wrapText="1"/>
      <protection locked="0"/>
    </xf>
    <xf numFmtId="0" fontId="25" fillId="0" borderId="9" xfId="0" applyFont="1" applyBorder="1" applyAlignment="1">
      <alignment horizontal="center" vertical="top" wrapText="1"/>
    </xf>
    <xf numFmtId="0" fontId="25" fillId="0" borderId="14" xfId="0" applyFont="1" applyBorder="1" applyAlignment="1">
      <alignment horizontal="center" vertical="top" wrapText="1"/>
    </xf>
    <xf numFmtId="0" fontId="25" fillId="0" borderId="10" xfId="0" applyFont="1" applyBorder="1" applyAlignment="1">
      <alignment horizontal="center" vertical="top" wrapText="1"/>
    </xf>
    <xf numFmtId="0" fontId="5" fillId="0" borderId="7" xfId="0" applyFont="1" applyBorder="1" applyAlignment="1">
      <alignment horizontal="left" vertical="top" wrapText="1"/>
    </xf>
    <xf numFmtId="0" fontId="8" fillId="0" borderId="7" xfId="0" applyFont="1" applyFill="1" applyBorder="1" applyAlignment="1">
      <alignment horizontal="left" vertical="top" wrapText="1"/>
    </xf>
    <xf numFmtId="0" fontId="8" fillId="0" borderId="15" xfId="0" applyFont="1" applyFill="1" applyBorder="1" applyAlignment="1">
      <alignment horizontal="left" vertical="top" wrapText="1"/>
    </xf>
    <xf numFmtId="0" fontId="8" fillId="0" borderId="8" xfId="0" applyFont="1" applyFill="1" applyBorder="1" applyAlignment="1">
      <alignment horizontal="left" vertical="top" wrapText="1"/>
    </xf>
    <xf numFmtId="0" fontId="8" fillId="0" borderId="7" xfId="0" applyFont="1" applyBorder="1" applyAlignment="1">
      <alignment horizontal="left"/>
    </xf>
    <xf numFmtId="0" fontId="8" fillId="0" borderId="15" xfId="0" applyFont="1" applyBorder="1" applyAlignment="1">
      <alignment horizontal="left"/>
    </xf>
    <xf numFmtId="0" fontId="5" fillId="0" borderId="5" xfId="0" applyFont="1" applyBorder="1" applyAlignment="1">
      <alignment horizontal="center" vertical="top" wrapText="1"/>
    </xf>
    <xf numFmtId="0" fontId="5" fillId="3" borderId="9" xfId="0" applyFont="1" applyFill="1" applyBorder="1" applyAlignment="1" applyProtection="1">
      <alignment horizontal="left" vertical="top" wrapText="1"/>
      <protection locked="0"/>
    </xf>
    <xf numFmtId="0" fontId="11" fillId="0" borderId="0" xfId="0" applyFont="1" applyBorder="1" applyAlignment="1">
      <alignment horizontal="center"/>
    </xf>
    <xf numFmtId="0" fontId="12" fillId="0" borderId="0" xfId="0" applyFont="1" applyBorder="1" applyAlignment="1">
      <alignment horizontal="left"/>
    </xf>
    <xf numFmtId="0" fontId="41" fillId="0" borderId="1" xfId="0" applyFont="1" applyBorder="1" applyAlignment="1">
      <alignment horizontal="right"/>
    </xf>
    <xf numFmtId="0" fontId="41" fillId="0" borderId="0" xfId="0" applyFont="1" applyAlignment="1">
      <alignment horizontal="center" vertical="top" wrapText="1"/>
    </xf>
    <xf numFmtId="0" fontId="41" fillId="0" borderId="15" xfId="0" applyFont="1" applyBorder="1" applyAlignment="1">
      <alignment horizontal="left" vertical="top" wrapText="1"/>
    </xf>
    <xf numFmtId="0" fontId="4" fillId="0" borderId="1" xfId="0" applyFont="1" applyBorder="1" applyAlignment="1">
      <alignment horizontal="left" vertical="top" wrapText="1"/>
    </xf>
    <xf numFmtId="0" fontId="37" fillId="0" borderId="1" xfId="0" applyFont="1" applyBorder="1" applyAlignment="1">
      <alignment horizontal="left" vertical="top" wrapText="1"/>
    </xf>
    <xf numFmtId="0" fontId="4" fillId="0" borderId="1" xfId="0" applyFont="1" applyFill="1" applyBorder="1" applyAlignment="1">
      <alignment horizontal="left"/>
    </xf>
    <xf numFmtId="0" fontId="0" fillId="0" borderId="4" xfId="0" applyBorder="1"/>
    <xf numFmtId="0" fontId="4" fillId="0" borderId="2" xfId="0" applyFont="1" applyBorder="1" applyAlignment="1">
      <alignment horizontal="center" vertical="center" textRotation="90" wrapText="1"/>
    </xf>
    <xf numFmtId="0" fontId="4" fillId="0" borderId="3" xfId="0" applyFont="1" applyBorder="1" applyAlignment="1">
      <alignment horizontal="center" vertical="center" textRotation="90" wrapText="1"/>
    </xf>
    <xf numFmtId="0" fontId="4" fillId="0" borderId="11" xfId="0" applyFont="1" applyBorder="1" applyAlignment="1">
      <alignment horizontal="center" vertical="center" textRotation="90" wrapText="1"/>
    </xf>
    <xf numFmtId="0" fontId="4" fillId="0" borderId="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6" xfId="0" applyFont="1" applyBorder="1" applyAlignment="1">
      <alignment horizontal="center"/>
    </xf>
    <xf numFmtId="0" fontId="4" fillId="0" borderId="8" xfId="0" applyFont="1" applyBorder="1" applyAlignment="1">
      <alignment horizontal="left" vertical="top" wrapText="1"/>
    </xf>
    <xf numFmtId="0" fontId="4" fillId="0" borderId="9" xfId="0" applyFont="1" applyBorder="1" applyAlignment="1">
      <alignment horizontal="left" vertical="center" wrapText="1"/>
    </xf>
    <xf numFmtId="0" fontId="4" fillId="0" borderId="14" xfId="0" applyFont="1" applyBorder="1" applyAlignment="1">
      <alignment horizontal="left" vertical="center" wrapText="1"/>
    </xf>
    <xf numFmtId="0" fontId="4" fillId="0" borderId="10" xfId="0" applyFont="1" applyBorder="1" applyAlignment="1">
      <alignment horizontal="left" vertical="center" wrapText="1"/>
    </xf>
    <xf numFmtId="0" fontId="5" fillId="3" borderId="1" xfId="0" applyFont="1" applyFill="1" applyBorder="1" applyAlignment="1" applyProtection="1">
      <alignment horizontal="left" vertical="top" wrapText="1"/>
      <protection locked="0"/>
    </xf>
    <xf numFmtId="0" fontId="0" fillId="3" borderId="9"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4" fillId="0" borderId="7" xfId="0" applyFont="1" applyBorder="1" applyAlignment="1">
      <alignment horizontal="left" wrapText="1"/>
    </xf>
    <xf numFmtId="0" fontId="4" fillId="0" borderId="15" xfId="0" applyFont="1" applyBorder="1" applyAlignment="1">
      <alignment horizontal="left" wrapText="1"/>
    </xf>
    <xf numFmtId="0" fontId="4" fillId="0" borderId="8" xfId="0" applyFont="1" applyBorder="1" applyAlignment="1">
      <alignment horizontal="left" wrapText="1"/>
    </xf>
    <xf numFmtId="0" fontId="8" fillId="0" borderId="7" xfId="0" applyFont="1" applyBorder="1" applyAlignment="1">
      <alignment horizontal="center"/>
    </xf>
    <xf numFmtId="0" fontId="8" fillId="0" borderId="15" xfId="0" applyFont="1" applyBorder="1" applyAlignment="1">
      <alignment horizontal="center"/>
    </xf>
    <xf numFmtId="0" fontId="4" fillId="0" borderId="7" xfId="0" applyFont="1" applyBorder="1" applyAlignment="1">
      <alignment horizontal="left" vertical="center" wrapText="1"/>
    </xf>
    <xf numFmtId="0" fontId="4" fillId="0" borderId="15" xfId="0" applyFont="1" applyBorder="1" applyAlignment="1">
      <alignment horizontal="left" vertical="center" wrapText="1"/>
    </xf>
    <xf numFmtId="0" fontId="4" fillId="0" borderId="8" xfId="0" applyFont="1" applyBorder="1" applyAlignment="1">
      <alignment horizontal="left" vertical="center" wrapText="1"/>
    </xf>
    <xf numFmtId="0" fontId="8" fillId="0" borderId="1" xfId="0" applyFont="1" applyBorder="1" applyAlignment="1">
      <alignment horizontal="left"/>
    </xf>
    <xf numFmtId="0" fontId="4" fillId="0" borderId="7"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center" vertical="center" textRotation="90"/>
    </xf>
    <xf numFmtId="0" fontId="4" fillId="0" borderId="3"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Fill="1" applyBorder="1" applyAlignment="1">
      <alignment horizontal="center" vertical="top" wrapText="1"/>
    </xf>
    <xf numFmtId="0" fontId="4" fillId="0" borderId="13" xfId="0" applyFont="1" applyFill="1" applyBorder="1" applyAlignment="1">
      <alignment horizontal="center" vertical="top" wrapText="1"/>
    </xf>
    <xf numFmtId="0" fontId="4" fillId="0" borderId="12" xfId="0" applyFont="1" applyBorder="1" applyAlignment="1">
      <alignment horizontal="left" wrapText="1"/>
    </xf>
    <xf numFmtId="0" fontId="4" fillId="0" borderId="6" xfId="0" applyFont="1" applyBorder="1" applyAlignment="1">
      <alignment horizontal="left" wrapText="1"/>
    </xf>
    <xf numFmtId="0" fontId="4" fillId="0" borderId="13" xfId="0" applyFont="1" applyBorder="1" applyAlignment="1">
      <alignment horizontal="left" wrapText="1"/>
    </xf>
    <xf numFmtId="0" fontId="8" fillId="0" borderId="13" xfId="0" applyFont="1" applyBorder="1" applyAlignment="1">
      <alignment horizontal="left" vertical="top" wrapText="1"/>
    </xf>
    <xf numFmtId="0" fontId="8" fillId="0" borderId="6" xfId="0" applyFont="1" applyBorder="1" applyAlignment="1">
      <alignment horizontal="left" vertical="top" wrapText="1"/>
    </xf>
    <xf numFmtId="0" fontId="4" fillId="0" borderId="6" xfId="0" applyFont="1" applyBorder="1" applyAlignment="1">
      <alignment horizontal="center" vertical="center"/>
    </xf>
    <xf numFmtId="0" fontId="4" fillId="4" borderId="7" xfId="0" applyFont="1" applyFill="1" applyBorder="1" applyAlignment="1">
      <alignment horizontal="center"/>
    </xf>
    <xf numFmtId="0" fontId="4" fillId="4" borderId="8" xfId="0" applyFont="1" applyFill="1" applyBorder="1" applyAlignment="1">
      <alignment horizontal="center"/>
    </xf>
    <xf numFmtId="0" fontId="4" fillId="4" borderId="5" xfId="0" applyFont="1" applyFill="1" applyBorder="1" applyAlignment="1">
      <alignment horizontal="center"/>
    </xf>
    <xf numFmtId="0" fontId="4" fillId="4" borderId="4" xfId="0" applyFont="1" applyFill="1" applyBorder="1" applyAlignment="1">
      <alignment horizontal="center"/>
    </xf>
    <xf numFmtId="0" fontId="8" fillId="0" borderId="12" xfId="0" applyFont="1" applyBorder="1" applyAlignment="1">
      <alignment horizontal="center"/>
    </xf>
    <xf numFmtId="0" fontId="8" fillId="0" borderId="6" xfId="0" applyFont="1" applyBorder="1" applyAlignment="1">
      <alignment horizontal="center"/>
    </xf>
    <xf numFmtId="0" fontId="8" fillId="0" borderId="13" xfId="0" applyFont="1" applyBorder="1" applyAlignment="1">
      <alignment horizontal="center"/>
    </xf>
    <xf numFmtId="0" fontId="4" fillId="0" borderId="5" xfId="0" applyFont="1" applyBorder="1" applyAlignment="1">
      <alignment horizontal="left" vertical="top" wrapText="1"/>
    </xf>
    <xf numFmtId="0" fontId="4" fillId="0" borderId="0" xfId="0" applyFont="1" applyBorder="1" applyAlignment="1">
      <alignment horizontal="left" vertical="top" wrapText="1"/>
    </xf>
    <xf numFmtId="0" fontId="4" fillId="0" borderId="4" xfId="0" applyFont="1" applyBorder="1" applyAlignment="1">
      <alignment horizontal="left" vertical="top" wrapText="1"/>
    </xf>
    <xf numFmtId="0" fontId="5" fillId="3" borderId="12" xfId="0" applyFont="1" applyFill="1" applyBorder="1" applyAlignment="1" applyProtection="1">
      <alignment horizontal="center" vertical="top" wrapText="1"/>
      <protection locked="0"/>
    </xf>
    <xf numFmtId="0" fontId="5" fillId="3" borderId="6" xfId="0" applyFont="1" applyFill="1" applyBorder="1" applyAlignment="1" applyProtection="1">
      <alignment horizontal="center" vertical="top" wrapText="1"/>
      <protection locked="0"/>
    </xf>
    <xf numFmtId="0" fontId="5" fillId="3" borderId="13" xfId="0" applyFont="1" applyFill="1" applyBorder="1" applyAlignment="1" applyProtection="1">
      <alignment horizontal="center" vertical="top" wrapText="1"/>
      <protection locked="0"/>
    </xf>
    <xf numFmtId="0" fontId="18" fillId="0" borderId="12" xfId="0" applyFont="1" applyBorder="1" applyAlignment="1">
      <alignment horizontal="left"/>
    </xf>
    <xf numFmtId="0" fontId="18" fillId="0" borderId="6" xfId="0" applyFont="1" applyBorder="1" applyAlignment="1">
      <alignment horizontal="left"/>
    </xf>
    <xf numFmtId="0" fontId="18" fillId="0" borderId="13" xfId="0" applyFont="1" applyBorder="1" applyAlignment="1">
      <alignment horizontal="left"/>
    </xf>
    <xf numFmtId="0" fontId="3" fillId="2" borderId="6" xfId="0" applyFont="1" applyFill="1" applyBorder="1" applyAlignment="1">
      <alignment horizontal="center"/>
    </xf>
    <xf numFmtId="0" fontId="18" fillId="0" borderId="12" xfId="0" applyFont="1" applyBorder="1" applyAlignment="1">
      <alignment horizontal="left" vertical="top" wrapText="1"/>
    </xf>
    <xf numFmtId="0" fontId="18" fillId="0" borderId="6" xfId="0" applyFont="1" applyBorder="1" applyAlignment="1">
      <alignment horizontal="left" vertical="top" wrapText="1"/>
    </xf>
    <xf numFmtId="0" fontId="5" fillId="0" borderId="1" xfId="0" applyFont="1" applyBorder="1" applyAlignment="1">
      <alignment horizontal="left" vertical="top" wrapText="1"/>
    </xf>
    <xf numFmtId="0" fontId="5" fillId="0" borderId="0" xfId="0" applyFont="1" applyAlignment="1">
      <alignment horizontal="left" wrapText="1"/>
    </xf>
    <xf numFmtId="0" fontId="5" fillId="0" borderId="0" xfId="0" applyFont="1" applyAlignment="1">
      <alignment horizontal="left"/>
    </xf>
    <xf numFmtId="0" fontId="4" fillId="0" borderId="0" xfId="0" applyFont="1" applyAlignment="1">
      <alignment horizontal="left" vertical="top" wrapText="1"/>
    </xf>
    <xf numFmtId="0" fontId="5" fillId="0" borderId="1" xfId="0" applyNumberFormat="1" applyFont="1" applyBorder="1" applyAlignment="1">
      <alignment horizontal="left" vertical="top" wrapText="1"/>
    </xf>
    <xf numFmtId="0" fontId="4" fillId="0" borderId="1" xfId="0" applyFont="1" applyBorder="1" applyAlignment="1">
      <alignment horizontal="left"/>
    </xf>
    <xf numFmtId="0" fontId="5" fillId="0" borderId="12" xfId="0" applyFont="1" applyBorder="1" applyAlignment="1">
      <alignment horizontal="left"/>
    </xf>
    <xf numFmtId="0" fontId="5" fillId="0" borderId="6" xfId="0" applyFont="1" applyBorder="1" applyAlignment="1">
      <alignment horizontal="left"/>
    </xf>
    <xf numFmtId="0" fontId="5" fillId="0" borderId="13" xfId="0" applyFont="1" applyBorder="1" applyAlignment="1">
      <alignment horizontal="left"/>
    </xf>
    <xf numFmtId="0" fontId="8" fillId="3" borderId="1" xfId="0" applyFont="1" applyFill="1" applyBorder="1" applyAlignment="1">
      <alignment horizontal="left" vertical="top" wrapText="1"/>
    </xf>
    <xf numFmtId="0" fontId="5" fillId="0" borderId="12" xfId="0" applyFont="1" applyBorder="1" applyAlignment="1">
      <alignment horizontal="left" vertical="top" wrapText="1"/>
    </xf>
    <xf numFmtId="0" fontId="5" fillId="0" borderId="6" xfId="0" applyFont="1" applyBorder="1" applyAlignment="1">
      <alignment horizontal="left" vertical="top" wrapText="1"/>
    </xf>
    <xf numFmtId="0" fontId="5" fillId="0" borderId="13" xfId="0" applyFont="1" applyBorder="1" applyAlignment="1">
      <alignment horizontal="left" vertical="top" wrapText="1"/>
    </xf>
    <xf numFmtId="0" fontId="14" fillId="0" borderId="1" xfId="0" applyFont="1" applyBorder="1" applyAlignment="1">
      <alignment horizontal="left" vertical="top" wrapText="1"/>
    </xf>
    <xf numFmtId="0" fontId="5" fillId="0" borderId="12" xfId="0" applyNumberFormat="1" applyFont="1" applyBorder="1" applyAlignment="1">
      <alignment horizontal="left" vertical="top" wrapText="1"/>
    </xf>
    <xf numFmtId="0" fontId="5" fillId="0" borderId="6" xfId="0" applyNumberFormat="1" applyFont="1" applyBorder="1" applyAlignment="1">
      <alignment horizontal="left" vertical="top" wrapText="1"/>
    </xf>
    <xf numFmtId="0" fontId="5" fillId="0" borderId="13" xfId="0" applyNumberFormat="1" applyFont="1" applyBorder="1" applyAlignment="1">
      <alignment horizontal="left" vertical="top" wrapText="1"/>
    </xf>
    <xf numFmtId="0" fontId="4" fillId="0" borderId="1" xfId="0" applyNumberFormat="1" applyFont="1" applyBorder="1" applyAlignment="1">
      <alignment horizontal="left" vertical="top" wrapText="1"/>
    </xf>
    <xf numFmtId="0" fontId="18" fillId="0" borderId="0" xfId="0" applyFont="1" applyAlignment="1">
      <alignment horizontal="left" vertical="top" wrapText="1"/>
    </xf>
    <xf numFmtId="0" fontId="28" fillId="0" borderId="2" xfId="0" applyFont="1" applyBorder="1" applyAlignment="1">
      <alignment horizontal="left" vertical="top" wrapText="1"/>
    </xf>
    <xf numFmtId="0" fontId="28" fillId="0" borderId="3" xfId="0" applyFont="1" applyBorder="1" applyAlignment="1">
      <alignment horizontal="left" vertical="top" wrapText="1"/>
    </xf>
    <xf numFmtId="0" fontId="28" fillId="0" borderId="11" xfId="0" applyFont="1" applyBorder="1" applyAlignment="1">
      <alignment horizontal="left" vertical="top" wrapText="1"/>
    </xf>
    <xf numFmtId="0" fontId="28" fillId="0" borderId="7" xfId="0" applyFont="1" applyBorder="1" applyAlignment="1">
      <alignment horizontal="left" vertical="top" wrapText="1"/>
    </xf>
    <xf numFmtId="0" fontId="28" fillId="0" borderId="8" xfId="0" applyFont="1" applyBorder="1" applyAlignment="1">
      <alignment horizontal="left" vertical="top" wrapText="1"/>
    </xf>
    <xf numFmtId="0" fontId="28" fillId="0" borderId="5" xfId="0" applyFont="1" applyBorder="1" applyAlignment="1">
      <alignment horizontal="left" vertical="top" wrapText="1"/>
    </xf>
    <xf numFmtId="0" fontId="28" fillId="0" borderId="4" xfId="0" applyFont="1" applyBorder="1" applyAlignment="1">
      <alignment horizontal="left" vertical="top" wrapText="1"/>
    </xf>
    <xf numFmtId="0" fontId="28" fillId="0" borderId="9" xfId="0" applyFont="1" applyBorder="1" applyAlignment="1">
      <alignment horizontal="left" vertical="top" wrapText="1"/>
    </xf>
    <xf numFmtId="0" fontId="28" fillId="0" borderId="10" xfId="0" applyFont="1" applyBorder="1" applyAlignment="1">
      <alignment horizontal="left" vertical="top" wrapText="1"/>
    </xf>
  </cellXfs>
  <cellStyles count="4">
    <cellStyle name="Comma" xfId="1" builtinId="3"/>
    <cellStyle name="Hyperlink" xfId="2" builtinId="8"/>
    <cellStyle name="Normal" xfId="0" builtinId="0"/>
    <cellStyle name="Normal 2" xfId="3"/>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10.xml.rels><?xml version="1.0" encoding="UTF-8" standalone="yes"?>
<Relationships xmlns="http://schemas.openxmlformats.org/package/2006/relationships"><Relationship Id="rId1" Type="http://schemas.microsoft.com/office/2006/relationships/activeXControlBinary" Target="activeX9.bin"/></Relationships>
</file>

<file path=xl/activeX/_rels/activeX11.xml.rels><?xml version="1.0" encoding="UTF-8" standalone="yes"?>
<Relationships xmlns="http://schemas.openxmlformats.org/package/2006/relationships"><Relationship Id="rId1" Type="http://schemas.microsoft.com/office/2006/relationships/activeXControlBinary" Target="activeX10.bin"/></Relationships>
</file>

<file path=xl/activeX/_rels/activeX12.xml.rels><?xml version="1.0" encoding="UTF-8" standalone="yes"?>
<Relationships xmlns="http://schemas.openxmlformats.org/package/2006/relationships"><Relationship Id="rId1" Type="http://schemas.microsoft.com/office/2006/relationships/activeXControlBinary" Target="activeX11.bin"/></Relationships>
</file>

<file path=xl/activeX/_rels/activeX13.xml.rels><?xml version="1.0" encoding="UTF-8" standalone="yes"?>
<Relationships xmlns="http://schemas.openxmlformats.org/package/2006/relationships"><Relationship Id="rId1" Type="http://schemas.microsoft.com/office/2006/relationships/activeXControlBinary" Target="activeX12.bin"/></Relationships>
</file>

<file path=xl/activeX/_rels/activeX14.xml.rels><?xml version="1.0" encoding="UTF-8" standalone="yes"?>
<Relationships xmlns="http://schemas.openxmlformats.org/package/2006/relationships"><Relationship Id="rId1" Type="http://schemas.microsoft.com/office/2006/relationships/activeXControlBinary" Target="activeX13.bin"/></Relationships>
</file>

<file path=xl/activeX/_rels/activeX15.xml.rels><?xml version="1.0" encoding="UTF-8" standalone="yes"?>
<Relationships xmlns="http://schemas.openxmlformats.org/package/2006/relationships"><Relationship Id="rId1" Type="http://schemas.microsoft.com/office/2006/relationships/activeXControlBinary" Target="activeX14.bin"/></Relationships>
</file>

<file path=xl/activeX/_rels/activeX16.xml.rels><?xml version="1.0" encoding="UTF-8" standalone="yes"?>
<Relationships xmlns="http://schemas.openxmlformats.org/package/2006/relationships"><Relationship Id="rId1" Type="http://schemas.microsoft.com/office/2006/relationships/activeXControlBinary" Target="activeX15.bin"/></Relationships>
</file>

<file path=xl/activeX/_rels/activeX17.xml.rels><?xml version="1.0" encoding="UTF-8" standalone="yes"?>
<Relationships xmlns="http://schemas.openxmlformats.org/package/2006/relationships"><Relationship Id="rId1" Type="http://schemas.microsoft.com/office/2006/relationships/activeXControlBinary" Target="activeX16.bin"/></Relationships>
</file>

<file path=xl/activeX/_rels/activeX18.xml.rels><?xml version="1.0" encoding="UTF-8" standalone="yes"?>
<Relationships xmlns="http://schemas.openxmlformats.org/package/2006/relationships"><Relationship Id="rId1" Type="http://schemas.microsoft.com/office/2006/relationships/activeXControlBinary" Target="activeX17.bin"/></Relationships>
</file>

<file path=xl/activeX/_rels/activeX19.xml.rels><?xml version="1.0" encoding="UTF-8" standalone="yes"?>
<Relationships xmlns="http://schemas.openxmlformats.org/package/2006/relationships"><Relationship Id="rId1" Type="http://schemas.microsoft.com/office/2006/relationships/activeXControlBinary" Target="activeX18.bin"/></Relationships>
</file>

<file path=xl/activeX/_rels/activeX20.xml.rels><?xml version="1.0" encoding="UTF-8" standalone="yes"?>
<Relationships xmlns="http://schemas.openxmlformats.org/package/2006/relationships"><Relationship Id="rId1" Type="http://schemas.microsoft.com/office/2006/relationships/activeXControlBinary" Target="activeX19.bin"/></Relationships>
</file>

<file path=xl/activeX/_rels/activeX21.xml.rels><?xml version="1.0" encoding="UTF-8" standalone="yes"?>
<Relationships xmlns="http://schemas.openxmlformats.org/package/2006/relationships"><Relationship Id="rId1" Type="http://schemas.microsoft.com/office/2006/relationships/activeXControlBinary" Target="activeX20.bin"/></Relationships>
</file>

<file path=xl/activeX/_rels/activeX22.xml.rels><?xml version="1.0" encoding="UTF-8" standalone="yes"?>
<Relationships xmlns="http://schemas.openxmlformats.org/package/2006/relationships"><Relationship Id="rId1" Type="http://schemas.microsoft.com/office/2006/relationships/activeXControlBinary" Target="activeX21.bin"/></Relationships>
</file>

<file path=xl/activeX/_rels/activeX23.xml.rels><?xml version="1.0" encoding="UTF-8" standalone="yes"?>
<Relationships xmlns="http://schemas.openxmlformats.org/package/2006/relationships"><Relationship Id="rId1" Type="http://schemas.microsoft.com/office/2006/relationships/activeXControlBinary" Target="activeX22.bin"/></Relationships>
</file>

<file path=xl/activeX/_rels/activeX24.xml.rels><?xml version="1.0" encoding="UTF-8" standalone="yes"?>
<Relationships xmlns="http://schemas.openxmlformats.org/package/2006/relationships"><Relationship Id="rId1" Type="http://schemas.microsoft.com/office/2006/relationships/activeXControlBinary" Target="activeX23.bin"/></Relationships>
</file>

<file path=xl/activeX/_rels/activeX25.xml.rels><?xml version="1.0" encoding="UTF-8" standalone="yes"?>
<Relationships xmlns="http://schemas.openxmlformats.org/package/2006/relationships"><Relationship Id="rId1" Type="http://schemas.microsoft.com/office/2006/relationships/activeXControlBinary" Target="activeX24.bin"/></Relationships>
</file>

<file path=xl/activeX/_rels/activeX26.xml.rels><?xml version="1.0" encoding="UTF-8" standalone="yes"?>
<Relationships xmlns="http://schemas.openxmlformats.org/package/2006/relationships"><Relationship Id="rId1" Type="http://schemas.microsoft.com/office/2006/relationships/activeXControlBinary" Target="activeX25.bin"/></Relationships>
</file>

<file path=xl/activeX/_rels/activeX27.xml.rels><?xml version="1.0" encoding="UTF-8" standalone="yes"?>
<Relationships xmlns="http://schemas.openxmlformats.org/package/2006/relationships"><Relationship Id="rId1" Type="http://schemas.microsoft.com/office/2006/relationships/activeXControlBinary" Target="activeX26.bin"/></Relationships>
</file>

<file path=xl/activeX/_rels/activeX28.xml.rels><?xml version="1.0" encoding="UTF-8" standalone="yes"?>
<Relationships xmlns="http://schemas.openxmlformats.org/package/2006/relationships"><Relationship Id="rId1" Type="http://schemas.microsoft.com/office/2006/relationships/activeXControlBinary" Target="activeX27.bin"/></Relationships>
</file>

<file path=xl/activeX/_rels/activeX29.xml.rels><?xml version="1.0" encoding="UTF-8" standalone="yes"?>
<Relationships xmlns="http://schemas.openxmlformats.org/package/2006/relationships"><Relationship Id="rId1" Type="http://schemas.microsoft.com/office/2006/relationships/activeXControlBinary" Target="activeX28.bin"/></Relationships>
</file>

<file path=xl/activeX/_rels/activeX30.xml.rels><?xml version="1.0" encoding="UTF-8" standalone="yes"?>
<Relationships xmlns="http://schemas.openxmlformats.org/package/2006/relationships"><Relationship Id="rId1" Type="http://schemas.microsoft.com/office/2006/relationships/activeXControlBinary" Target="activeX29.bin"/></Relationships>
</file>

<file path=xl/activeX/_rels/activeX31.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2648447"/>
  <ax:ocxPr ax:name="Caption" ax:value="  Calculate Tax"/>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revious version"/>
  <ax:ocxPr ax:name="PicturePosition" ax:value="327683"/>
  <ax:ocxPr ax:name="Size" ax:value="3678;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ersonal/Tax Details form XML"/>
  <ax:ocxPr ax:name="PicturePosition" ax:value="327683"/>
  <ax:ocxPr ax:name="Size" ax:value="4604;635"/>
  <ax:ocxPr ax:name="Picture">
    <ax:picture r:id="rId1"/>
  </ax:ocxPr>
  <ax:ocxPr ax:name="TakeFocusOnClick" ax:value="0"/>
  <ax:ocxPr ax:name="FontName" ax:value="Times New Roman"/>
  <ax:ocxPr ax:name="FontHeight" ax:value="135"/>
  <ax:ocxPr ax:name="FontCharSet" ax:value="0"/>
  <ax:ocxPr ax:name="FontPitchAndFamily" ax:value="2"/>
  <ax:ocxPr ax:name="ParagraphAlign" ax:value="3"/>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2.xml><?xml version="1.0" encoding="utf-8"?>
<ax:ocx xmlns:ax="http://schemas.microsoft.com/office/2006/activeX" xmlns:r="http://schemas.openxmlformats.org/officeDocument/2006/relationships" ax:classid="{D7053240-CE69-11CD-A777-00DD01143C57}" ax:persistence="persistPropertyBag">
  <ax:ocxPr ax:name="Caption" ax:value="Calculate Tax"/>
  <ax:ocxPr ax:name="Size" ax:value="2725;688"/>
  <ax:ocxPr ax:name="FontName" ax:value="Arial"/>
  <ax:ocxPr ax:name="FontHeight" ax:value="195"/>
  <ax:ocxPr ax:name="FontCharSet" ax:value="0"/>
  <ax:ocxPr ax:name="FontPitchAndFamily" ax:value="2"/>
  <ax:ocxPr ax:name="ParagraphAlign" ax:value="3"/>
</ax:ocx>
</file>

<file path=xl/activeX/activeX33.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Tax"/>
  <ax:ocxPr ax:name="Size" ax:value="4233;1402"/>
  <ax:ocxPr ax:name="FontName" ax:value="Arial"/>
  <ax:ocxPr ax:name="FontHeight" ax:value="195"/>
  <ax:ocxPr ax:name="FontCharSet" ax:value="0"/>
  <ax:ocxPr ax:name="FontPitchAndFamily" ax:value="2"/>
  <ax:ocxPr ax:name="ParagraphAlign" ax:value="3"/>
</ax:ocx>
</file>

<file path=xl/activeX/activeX34.xml><?xml version="1.0" encoding="utf-8"?>
<ax:ocx xmlns:ax="http://schemas.microsoft.com/office/2006/activeX" xmlns:r="http://schemas.openxmlformats.org/officeDocument/2006/relationships" ax:classid="{D7053240-CE69-11CD-A777-00DD01143C57}" ax:persistence="persistPropertyBag">
  <ax:ocxPr ax:name="Caption" ax:value="Calculate Interest"/>
  <ax:ocxPr ax:name="Size" ax:value="3096;688"/>
  <ax:ocxPr ax:name="FontName" ax:value="Arial"/>
  <ax:ocxPr ax:name="FontHeight" ax:value="195"/>
  <ax:ocxPr ax:name="FontCharSet" ax:value="0"/>
  <ax:ocxPr ax:name="FontPitchAndFamily" ax:value="2"/>
  <ax:ocxPr ax:name="ParagraphAlign" ax:value="3"/>
</ax:ocx>
</file>

<file path=xl/activeX/activeX35.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Interest"/>
  <ax:ocxPr ax:name="Size" ax:value="4233;1376"/>
  <ax:ocxPr ax:name="FontName" ax:value="Arial"/>
  <ax:ocxPr ax:name="FontHeight" ax:value="195"/>
  <ax:ocxPr ax:name="FontCharSet" ax:value="0"/>
  <ax:ocxPr ax:name="FontPitchAndFamily" ax:value="2"/>
  <ax:ocxPr ax:name="ParagraphAlign" ax:value="3"/>
</ax:ocx>
</file>

<file path=xl/activeX/activeX36.xml><?xml version="1.0" encoding="utf-8"?>
<ax:ocx xmlns:ax="http://schemas.microsoft.com/office/2006/activeX" xmlns:r="http://schemas.openxmlformats.org/officeDocument/2006/relationships" ax:classid="{D7053240-CE69-11CD-A777-00DD01143C57}" ax:persistence="persistPropertyBag">
  <ax:ocxPr ax:name="Caption" ax:value="Back to Part B"/>
  <ax:ocxPr ax:name="Size" ax:value="2990;741"/>
  <ax:ocxPr ax:name="FontName" ax:value="Times New Roman"/>
  <ax:ocxPr ax:name="FontHeight" ax:value="195"/>
  <ax:ocxPr ax:name="FontCharSet" ax:value="0"/>
  <ax:ocxPr ax:name="FontPitchAndFamily" ax:value="2"/>
  <ax:ocxPr ax:name="ParagraphAlign" ax:value="3"/>
</ax:ocx>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5" Type="http://schemas.openxmlformats.org/officeDocument/2006/relationships/image" Target="../media/image16.emf"/><Relationship Id="rId4"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5" Type="http://schemas.openxmlformats.org/officeDocument/2006/relationships/image" Target="../media/image21.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5" Type="http://schemas.openxmlformats.org/officeDocument/2006/relationships/image" Target="../media/image26.emf"/><Relationship Id="rId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5" Type="http://schemas.openxmlformats.org/officeDocument/2006/relationships/image" Target="../media/image31.emf"/><Relationship Id="rId4" Type="http://schemas.openxmlformats.org/officeDocument/2006/relationships/image" Target="../media/image3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3.emf"/><Relationship Id="rId1" Type="http://schemas.openxmlformats.org/officeDocument/2006/relationships/image" Target="../media/image32.emf"/><Relationship Id="rId5" Type="http://schemas.openxmlformats.org/officeDocument/2006/relationships/image" Target="../media/image36.emf"/><Relationship Id="rId4" Type="http://schemas.openxmlformats.org/officeDocument/2006/relationships/image" Target="../media/image35.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mments" Target="../comments1.xml"/><Relationship Id="rId5" Type="http://schemas.openxmlformats.org/officeDocument/2006/relationships/control" Target="../activeX/activeX3.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ontrol" Target="../activeX/activeX11.xml"/><Relationship Id="rId4"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ontrol" Target="../activeX/activeX12.xml"/><Relationship Id="rId7" Type="http://schemas.openxmlformats.org/officeDocument/2006/relationships/control" Target="../activeX/activeX16.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control" Target="../activeX/activeX15.xml"/><Relationship Id="rId5" Type="http://schemas.openxmlformats.org/officeDocument/2006/relationships/control" Target="../activeX/activeX14.xml"/><Relationship Id="rId4" Type="http://schemas.openxmlformats.org/officeDocument/2006/relationships/control" Target="../activeX/activeX1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ontrol" Target="../activeX/activeX17.xml"/><Relationship Id="rId7" Type="http://schemas.openxmlformats.org/officeDocument/2006/relationships/control" Target="../activeX/activeX2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6" Type="http://schemas.openxmlformats.org/officeDocument/2006/relationships/control" Target="../activeX/activeX20.xml"/><Relationship Id="rId5" Type="http://schemas.openxmlformats.org/officeDocument/2006/relationships/control" Target="../activeX/activeX19.xml"/><Relationship Id="rId4" Type="http://schemas.openxmlformats.org/officeDocument/2006/relationships/control" Target="../activeX/activeX18.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ontrol" Target="../activeX/activeX22.xml"/><Relationship Id="rId7" Type="http://schemas.openxmlformats.org/officeDocument/2006/relationships/control" Target="../activeX/activeX2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openxmlformats.org/officeDocument/2006/relationships/control" Target="../activeX/activeX25.xml"/><Relationship Id="rId5" Type="http://schemas.openxmlformats.org/officeDocument/2006/relationships/control" Target="../activeX/activeX24.xml"/><Relationship Id="rId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7.xml"/><Relationship Id="rId7" Type="http://schemas.openxmlformats.org/officeDocument/2006/relationships/control" Target="../activeX/activeX31.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control" Target="../activeX/activeX29.xml"/><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control" Target="../activeX/activeX36.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6" Type="http://schemas.openxmlformats.org/officeDocument/2006/relationships/control" Target="../activeX/activeX35.xml"/><Relationship Id="rId5" Type="http://schemas.openxmlformats.org/officeDocument/2006/relationships/control" Target="../activeX/activeX34.xml"/><Relationship Id="rId4"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pageSetUpPr fitToPage="1"/>
  </sheetPr>
  <dimension ref="A1:IU285"/>
  <sheetViews>
    <sheetView workbookViewId="0">
      <selection activeCell="Z49" sqref="Z49:AK49"/>
    </sheetView>
  </sheetViews>
  <sheetFormatPr defaultColWidth="0" defaultRowHeight="12.75" zeroHeight="1"/>
  <cols>
    <col min="1" max="2" width="1.85546875" style="96" customWidth="1"/>
    <col min="3" max="3" width="3.28515625" style="89" customWidth="1"/>
    <col min="4" max="20" width="1.85546875" style="89" customWidth="1"/>
    <col min="21" max="21" width="4.5703125" style="89" customWidth="1"/>
    <col min="22" max="36" width="1.85546875" style="89" customWidth="1"/>
    <col min="37" max="37" width="2.7109375" style="89" customWidth="1"/>
    <col min="38" max="38" width="3.7109375" style="89" customWidth="1"/>
    <col min="39" max="41" width="1.85546875" style="89" customWidth="1"/>
    <col min="42" max="42" width="4" style="96" customWidth="1"/>
    <col min="43" max="47" width="1.85546875" style="96" customWidth="1"/>
    <col min="48" max="48" width="3.5703125" style="96" customWidth="1"/>
    <col min="49" max="49" width="2" style="96" customWidth="1"/>
    <col min="50" max="50" width="20.7109375" style="118" customWidth="1"/>
    <col min="51" max="51" width="9.140625" style="97" hidden="1" customWidth="1"/>
    <col min="52" max="52" width="33.28515625" style="97" hidden="1" customWidth="1"/>
    <col min="53" max="53" width="35.85546875" style="97" hidden="1" customWidth="1"/>
    <col min="54" max="55" width="9.140625" style="97" hidden="1" customWidth="1"/>
    <col min="56" max="56" width="10.7109375" style="97" hidden="1" customWidth="1"/>
    <col min="57" max="16384" width="0" style="96" hidden="1"/>
  </cols>
  <sheetData>
    <row r="1" spans="1:255" s="129" customFormat="1" ht="15.75" customHeight="1">
      <c r="A1" s="401" t="s">
        <v>333</v>
      </c>
      <c r="B1" s="431"/>
      <c r="C1" s="432" t="s">
        <v>348</v>
      </c>
      <c r="D1" s="432"/>
      <c r="E1" s="432"/>
      <c r="F1" s="432"/>
      <c r="G1" s="432"/>
      <c r="H1" s="433"/>
      <c r="I1" s="500"/>
      <c r="J1" s="454"/>
      <c r="K1" s="454"/>
      <c r="L1" s="454"/>
      <c r="M1" s="454"/>
      <c r="N1" s="490" t="s">
        <v>334</v>
      </c>
      <c r="O1" s="490"/>
      <c r="P1" s="490"/>
      <c r="Q1" s="490"/>
      <c r="R1" s="490"/>
      <c r="S1" s="490"/>
      <c r="T1" s="490"/>
      <c r="U1" s="490"/>
      <c r="V1" s="490"/>
      <c r="W1" s="490"/>
      <c r="X1" s="490"/>
      <c r="Y1" s="490"/>
      <c r="Z1" s="490"/>
      <c r="AA1" s="490"/>
      <c r="AB1" s="490"/>
      <c r="AC1" s="490"/>
      <c r="AD1" s="490"/>
      <c r="AE1" s="490"/>
      <c r="AF1" s="490"/>
      <c r="AG1" s="490"/>
      <c r="AH1" s="490"/>
      <c r="AI1" s="490"/>
      <c r="AJ1" s="490"/>
      <c r="AK1" s="490"/>
      <c r="AL1" s="490"/>
      <c r="AM1" s="491"/>
      <c r="AN1" s="489" t="s">
        <v>1122</v>
      </c>
      <c r="AO1" s="490"/>
      <c r="AP1" s="490"/>
      <c r="AQ1" s="490"/>
      <c r="AR1" s="490"/>
      <c r="AS1" s="490"/>
      <c r="AT1" s="490"/>
      <c r="AU1" s="491"/>
      <c r="AV1" s="146"/>
      <c r="AW1" s="104"/>
      <c r="AX1" s="118"/>
      <c r="AY1" s="135"/>
      <c r="AZ1" s="135"/>
      <c r="BA1" s="135"/>
      <c r="BB1" s="135"/>
      <c r="BC1" s="135"/>
      <c r="BD1" s="135"/>
      <c r="BH1" s="129" t="s">
        <v>1318</v>
      </c>
    </row>
    <row r="2" spans="1:255" s="129" customFormat="1" ht="47.25" customHeight="1">
      <c r="A2" s="403"/>
      <c r="B2" s="424"/>
      <c r="C2" s="426" t="s">
        <v>347</v>
      </c>
      <c r="D2" s="426"/>
      <c r="E2" s="426"/>
      <c r="F2" s="426"/>
      <c r="G2" s="426"/>
      <c r="H2" s="427"/>
      <c r="I2" s="466" t="s">
        <v>1114</v>
      </c>
      <c r="J2" s="467"/>
      <c r="K2" s="467"/>
      <c r="L2" s="467"/>
      <c r="M2" s="467"/>
      <c r="N2" s="467"/>
      <c r="O2" s="467"/>
      <c r="P2" s="467"/>
      <c r="Q2" s="467"/>
      <c r="R2" s="467"/>
      <c r="S2" s="467"/>
      <c r="T2" s="467"/>
      <c r="U2" s="467"/>
      <c r="V2" s="467"/>
      <c r="W2" s="467"/>
      <c r="X2" s="467"/>
      <c r="Y2" s="467"/>
      <c r="Z2" s="467"/>
      <c r="AA2" s="467"/>
      <c r="AB2" s="467"/>
      <c r="AC2" s="467"/>
      <c r="AD2" s="467"/>
      <c r="AE2" s="467"/>
      <c r="AF2" s="467"/>
      <c r="AG2" s="467"/>
      <c r="AH2" s="467"/>
      <c r="AI2" s="467"/>
      <c r="AJ2" s="467"/>
      <c r="AK2" s="467"/>
      <c r="AL2" s="467"/>
      <c r="AM2" s="468"/>
      <c r="AN2" s="492"/>
      <c r="AO2" s="493"/>
      <c r="AP2" s="493"/>
      <c r="AQ2" s="493"/>
      <c r="AR2" s="493"/>
      <c r="AS2" s="493"/>
      <c r="AT2" s="493"/>
      <c r="AU2" s="494"/>
      <c r="AV2" s="207"/>
      <c r="AW2" s="207"/>
      <c r="AX2" s="118"/>
      <c r="AY2" s="135"/>
      <c r="AZ2" s="135"/>
      <c r="BA2" s="135"/>
      <c r="BB2" s="135"/>
      <c r="BC2" s="135"/>
      <c r="BD2" s="135"/>
      <c r="BH2" s="129" t="s">
        <v>335</v>
      </c>
    </row>
    <row r="3" spans="1:255" s="129" customFormat="1" ht="12" customHeight="1">
      <c r="A3" s="403"/>
      <c r="B3" s="424"/>
      <c r="C3" s="426"/>
      <c r="D3" s="426"/>
      <c r="E3" s="426"/>
      <c r="F3" s="426"/>
      <c r="G3" s="426"/>
      <c r="H3" s="427"/>
      <c r="I3" s="497" t="s">
        <v>122</v>
      </c>
      <c r="J3" s="498"/>
      <c r="K3" s="498"/>
      <c r="L3" s="498"/>
      <c r="M3" s="498"/>
      <c r="N3" s="498"/>
      <c r="O3" s="498"/>
      <c r="P3" s="498"/>
      <c r="Q3" s="498"/>
      <c r="R3" s="498"/>
      <c r="S3" s="498"/>
      <c r="T3" s="498"/>
      <c r="U3" s="498"/>
      <c r="V3" s="498"/>
      <c r="W3" s="498"/>
      <c r="X3" s="498"/>
      <c r="Y3" s="498"/>
      <c r="Z3" s="498"/>
      <c r="AA3" s="498"/>
      <c r="AB3" s="498"/>
      <c r="AC3" s="498"/>
      <c r="AD3" s="498"/>
      <c r="AE3" s="498"/>
      <c r="AF3" s="498"/>
      <c r="AG3" s="498"/>
      <c r="AH3" s="498"/>
      <c r="AI3" s="498"/>
      <c r="AJ3" s="498"/>
      <c r="AK3" s="498"/>
      <c r="AL3" s="498"/>
      <c r="AM3" s="499"/>
      <c r="AN3" s="492"/>
      <c r="AO3" s="493"/>
      <c r="AP3" s="493"/>
      <c r="AQ3" s="493"/>
      <c r="AR3" s="493"/>
      <c r="AS3" s="493"/>
      <c r="AT3" s="493"/>
      <c r="AU3" s="494"/>
      <c r="AV3" s="146"/>
      <c r="AW3" s="104"/>
      <c r="AX3" s="118"/>
      <c r="AY3" s="166">
        <v>1</v>
      </c>
      <c r="AZ3" s="133" t="s">
        <v>337</v>
      </c>
      <c r="BA3" s="135" t="str">
        <f t="shared" ref="BA3:BA26" si="0">CONCATENATE(IF(AY3&lt;10,"0",""),AY3," - ",AZ3)</f>
        <v>01 - ANDAMAN AND NICOBAR ISLANDS</v>
      </c>
      <c r="BB3" s="135"/>
      <c r="BC3" s="135"/>
      <c r="BD3" s="135"/>
      <c r="BH3" s="129" t="s">
        <v>336</v>
      </c>
    </row>
    <row r="4" spans="1:255" s="129" customFormat="1" ht="12.75" hidden="1" customHeight="1">
      <c r="A4" s="405"/>
      <c r="B4" s="425"/>
      <c r="C4" s="426"/>
      <c r="D4" s="426"/>
      <c r="E4" s="426"/>
      <c r="F4" s="426"/>
      <c r="G4" s="426"/>
      <c r="H4" s="427"/>
      <c r="I4" s="107"/>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453"/>
      <c r="AO4" s="453"/>
      <c r="AP4" s="453"/>
      <c r="AQ4" s="453"/>
      <c r="AR4" s="453"/>
      <c r="AS4" s="453"/>
      <c r="AT4" s="453"/>
      <c r="AU4" s="453"/>
      <c r="AV4" s="470"/>
      <c r="AW4" s="104"/>
      <c r="AX4" s="118"/>
      <c r="AY4" s="133">
        <v>2</v>
      </c>
      <c r="AZ4" s="133" t="s">
        <v>340</v>
      </c>
      <c r="BA4" s="135" t="str">
        <f t="shared" si="0"/>
        <v>02 - ANDHRA PRADESH</v>
      </c>
      <c r="BB4" s="135"/>
      <c r="BC4" s="135"/>
      <c r="BD4" s="135"/>
      <c r="BH4" s="129" t="s">
        <v>338</v>
      </c>
    </row>
    <row r="5" spans="1:255" s="129" customFormat="1" ht="12" customHeight="1">
      <c r="A5" s="401" t="s">
        <v>342</v>
      </c>
      <c r="B5" s="402"/>
      <c r="C5" s="343" t="s">
        <v>343</v>
      </c>
      <c r="D5" s="344"/>
      <c r="E5" s="344"/>
      <c r="F5" s="344"/>
      <c r="G5" s="344"/>
      <c r="H5" s="344"/>
      <c r="I5" s="344"/>
      <c r="J5" s="344"/>
      <c r="K5" s="344"/>
      <c r="L5" s="344"/>
      <c r="M5" s="343" t="s">
        <v>344</v>
      </c>
      <c r="N5" s="344"/>
      <c r="O5" s="344"/>
      <c r="P5" s="344"/>
      <c r="Q5" s="344"/>
      <c r="R5" s="344"/>
      <c r="S5" s="344"/>
      <c r="T5" s="344"/>
      <c r="U5" s="338" t="s">
        <v>345</v>
      </c>
      <c r="V5" s="339"/>
      <c r="W5" s="339"/>
      <c r="X5" s="339"/>
      <c r="Y5" s="339"/>
      <c r="Z5" s="339"/>
      <c r="AA5" s="339"/>
      <c r="AB5" s="339"/>
      <c r="AC5" s="339"/>
      <c r="AD5" s="339"/>
      <c r="AE5" s="339"/>
      <c r="AF5" s="339"/>
      <c r="AG5" s="339"/>
      <c r="AH5" s="339"/>
      <c r="AI5" s="339"/>
      <c r="AJ5" s="339"/>
      <c r="AK5" s="478" t="s">
        <v>346</v>
      </c>
      <c r="AL5" s="479"/>
      <c r="AM5" s="479"/>
      <c r="AN5" s="479"/>
      <c r="AO5" s="479"/>
      <c r="AP5" s="479"/>
      <c r="AQ5" s="479"/>
      <c r="AR5" s="479"/>
      <c r="AS5" s="479"/>
      <c r="AT5" s="479"/>
      <c r="AU5" s="479"/>
      <c r="AV5" s="125" t="s">
        <v>481</v>
      </c>
      <c r="AW5" s="104"/>
      <c r="AX5" s="118"/>
      <c r="AY5" s="133">
        <v>7</v>
      </c>
      <c r="AZ5" s="133" t="s">
        <v>482</v>
      </c>
      <c r="BA5" s="135" t="str">
        <f t="shared" si="0"/>
        <v>07 - ARUNACHAL PRADESH</v>
      </c>
      <c r="BB5" s="135"/>
      <c r="BC5" s="135"/>
      <c r="BD5" s="135"/>
      <c r="BH5" s="129" t="s">
        <v>341</v>
      </c>
    </row>
    <row r="6" spans="1:255" s="131" customFormat="1" ht="12.75" customHeight="1">
      <c r="A6" s="403"/>
      <c r="B6" s="404"/>
      <c r="C6" s="345" t="s">
        <v>1360</v>
      </c>
      <c r="D6" s="341"/>
      <c r="E6" s="341"/>
      <c r="F6" s="341"/>
      <c r="G6" s="341"/>
      <c r="H6" s="341"/>
      <c r="I6" s="341"/>
      <c r="J6" s="341"/>
      <c r="K6" s="341"/>
      <c r="L6" s="341"/>
      <c r="M6" s="345"/>
      <c r="N6" s="341"/>
      <c r="O6" s="341"/>
      <c r="P6" s="341"/>
      <c r="Q6" s="341"/>
      <c r="R6" s="341"/>
      <c r="S6" s="341"/>
      <c r="T6" s="341"/>
      <c r="U6" s="480" t="s">
        <v>1361</v>
      </c>
      <c r="V6" s="481"/>
      <c r="W6" s="481"/>
      <c r="X6" s="481"/>
      <c r="Y6" s="481"/>
      <c r="Z6" s="481"/>
      <c r="AA6" s="481"/>
      <c r="AB6" s="481"/>
      <c r="AC6" s="481"/>
      <c r="AD6" s="481"/>
      <c r="AE6" s="481"/>
      <c r="AF6" s="481"/>
      <c r="AG6" s="481"/>
      <c r="AH6" s="481"/>
      <c r="AI6" s="481"/>
      <c r="AJ6" s="481"/>
      <c r="AK6" s="17"/>
      <c r="AL6" s="482" t="s">
        <v>1363</v>
      </c>
      <c r="AM6" s="482"/>
      <c r="AN6" s="482"/>
      <c r="AO6" s="482"/>
      <c r="AP6" s="482"/>
      <c r="AQ6" s="482"/>
      <c r="AR6" s="482"/>
      <c r="AS6" s="482"/>
      <c r="AT6" s="482"/>
      <c r="AU6" s="16"/>
      <c r="AV6" s="105"/>
      <c r="AW6" s="104"/>
      <c r="AX6" s="126"/>
      <c r="AY6" s="166">
        <v>4</v>
      </c>
      <c r="AZ6" s="166" t="s">
        <v>484</v>
      </c>
      <c r="BA6" s="167" t="str">
        <f t="shared" si="0"/>
        <v>04 - ASSAM</v>
      </c>
      <c r="BB6" s="167"/>
      <c r="BC6" s="167"/>
      <c r="BD6" s="167"/>
      <c r="BH6" s="129" t="s">
        <v>483</v>
      </c>
    </row>
    <row r="7" spans="1:255" s="129" customFormat="1" ht="12.75" hidden="1" customHeight="1">
      <c r="A7" s="403"/>
      <c r="B7" s="404"/>
      <c r="C7" s="100"/>
      <c r="D7" s="101"/>
      <c r="E7" s="101"/>
      <c r="F7" s="101"/>
      <c r="G7" s="101"/>
      <c r="H7" s="101"/>
      <c r="I7" s="101"/>
      <c r="J7" s="101"/>
      <c r="K7" s="101"/>
      <c r="L7" s="101"/>
      <c r="M7" s="102"/>
      <c r="N7" s="103"/>
      <c r="O7" s="103"/>
      <c r="P7" s="103"/>
      <c r="Q7" s="103"/>
      <c r="R7" s="103"/>
      <c r="S7" s="103"/>
      <c r="T7" s="103"/>
      <c r="U7" s="102"/>
      <c r="V7" s="103"/>
      <c r="W7" s="103"/>
      <c r="X7" s="103"/>
      <c r="Y7" s="103"/>
      <c r="Z7" s="103"/>
      <c r="AA7" s="103"/>
      <c r="AB7" s="103"/>
      <c r="AC7" s="103"/>
      <c r="AD7" s="103"/>
      <c r="AE7" s="103"/>
      <c r="AF7" s="103"/>
      <c r="AG7" s="103"/>
      <c r="AH7" s="103"/>
      <c r="AI7" s="103"/>
      <c r="AJ7" s="103"/>
      <c r="AK7" s="17"/>
      <c r="AL7" s="96"/>
      <c r="AM7" s="96"/>
      <c r="AN7" s="96"/>
      <c r="AO7" s="96"/>
      <c r="AP7" s="96"/>
      <c r="AQ7" s="96"/>
      <c r="AR7" s="96"/>
      <c r="AS7" s="96"/>
      <c r="AT7" s="96"/>
      <c r="AU7" s="16"/>
      <c r="AV7" s="105"/>
      <c r="AW7" s="104"/>
      <c r="AX7" s="118"/>
      <c r="AY7" s="133">
        <v>5</v>
      </c>
      <c r="AZ7" s="133" t="s">
        <v>486</v>
      </c>
      <c r="BA7" s="135" t="str">
        <f t="shared" si="0"/>
        <v>05 - BIHAR</v>
      </c>
      <c r="BB7" s="135"/>
      <c r="BC7" s="135"/>
      <c r="BD7" s="135"/>
      <c r="BH7" s="131" t="s">
        <v>485</v>
      </c>
    </row>
    <row r="8" spans="1:255" s="129" customFormat="1" ht="3" customHeight="1">
      <c r="A8" s="403"/>
      <c r="B8" s="404"/>
      <c r="C8" s="119"/>
      <c r="D8" s="118"/>
      <c r="E8" s="118"/>
      <c r="F8" s="118"/>
      <c r="G8" s="118"/>
      <c r="H8" s="118"/>
      <c r="I8" s="118"/>
      <c r="J8" s="118"/>
      <c r="K8" s="118"/>
      <c r="L8" s="118"/>
      <c r="M8" s="119"/>
      <c r="N8" s="118"/>
      <c r="O8" s="118"/>
      <c r="P8" s="118"/>
      <c r="Q8" s="118"/>
      <c r="R8" s="118"/>
      <c r="S8" s="234"/>
      <c r="T8" s="235"/>
      <c r="U8" s="119"/>
      <c r="V8" s="118"/>
      <c r="W8" s="118"/>
      <c r="X8" s="118"/>
      <c r="Y8" s="118"/>
      <c r="Z8" s="118"/>
      <c r="AA8" s="118"/>
      <c r="AB8" s="118"/>
      <c r="AC8" s="118"/>
      <c r="AD8" s="118"/>
      <c r="AE8" s="118"/>
      <c r="AF8" s="118"/>
      <c r="AG8" s="118"/>
      <c r="AH8" s="118"/>
      <c r="AI8" s="118"/>
      <c r="AJ8" s="118"/>
      <c r="AK8" s="437"/>
      <c r="AL8" s="438"/>
      <c r="AM8" s="438"/>
      <c r="AN8" s="438"/>
      <c r="AO8" s="438"/>
      <c r="AP8" s="438"/>
      <c r="AQ8" s="438"/>
      <c r="AR8" s="438"/>
      <c r="AS8" s="438"/>
      <c r="AT8" s="438"/>
      <c r="AU8" s="439"/>
      <c r="AV8" s="105"/>
      <c r="AW8" s="104"/>
      <c r="AX8" s="118"/>
      <c r="AY8" s="133">
        <v>6</v>
      </c>
      <c r="AZ8" s="133" t="s">
        <v>488</v>
      </c>
      <c r="BA8" s="135" t="str">
        <f t="shared" si="0"/>
        <v>06 - CHANDIGARH</v>
      </c>
      <c r="BB8" s="135"/>
      <c r="BC8" s="135"/>
      <c r="BD8" s="135"/>
      <c r="BH8" s="129" t="s">
        <v>487</v>
      </c>
    </row>
    <row r="9" spans="1:255" s="129" customFormat="1" ht="12" customHeight="1">
      <c r="A9" s="403"/>
      <c r="B9" s="404"/>
      <c r="C9" s="338" t="s">
        <v>891</v>
      </c>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40"/>
      <c r="AK9" s="434" t="s">
        <v>634</v>
      </c>
      <c r="AL9" s="435"/>
      <c r="AM9" s="435"/>
      <c r="AN9" s="435"/>
      <c r="AO9" s="435"/>
      <c r="AP9" s="435"/>
      <c r="AQ9" s="435"/>
      <c r="AR9" s="435"/>
      <c r="AS9" s="435"/>
      <c r="AT9" s="435"/>
      <c r="AU9" s="436"/>
      <c r="AV9" s="105"/>
      <c r="AW9" s="104"/>
      <c r="AX9" s="118"/>
      <c r="AY9" s="133">
        <v>7</v>
      </c>
      <c r="AZ9" s="133" t="s">
        <v>490</v>
      </c>
      <c r="BA9" s="135" t="str">
        <f t="shared" si="0"/>
        <v>07 - DADRA AND NAGAR HAVELI</v>
      </c>
      <c r="BB9" s="135"/>
      <c r="BC9" s="135"/>
      <c r="BD9" s="135"/>
      <c r="BH9" s="129" t="s">
        <v>489</v>
      </c>
    </row>
    <row r="10" spans="1:255" s="129" customFormat="1" ht="12.75" customHeight="1">
      <c r="A10" s="403"/>
      <c r="B10" s="404"/>
      <c r="C10" s="441" t="s">
        <v>1380</v>
      </c>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2"/>
      <c r="AH10" s="442"/>
      <c r="AI10" s="442"/>
      <c r="AJ10" s="443"/>
      <c r="AK10" s="119"/>
      <c r="AL10" s="440" t="s">
        <v>635</v>
      </c>
      <c r="AM10" s="440" t="s">
        <v>635</v>
      </c>
      <c r="AN10" s="440" t="s">
        <v>635</v>
      </c>
      <c r="AO10" s="440" t="s">
        <v>635</v>
      </c>
      <c r="AP10" s="440" t="s">
        <v>635</v>
      </c>
      <c r="AQ10" s="440" t="s">
        <v>635</v>
      </c>
      <c r="AR10" s="118"/>
      <c r="AS10" s="118"/>
      <c r="AT10" s="118"/>
      <c r="AU10" s="120"/>
      <c r="AV10" s="105"/>
      <c r="AW10" s="104"/>
      <c r="AX10" s="118"/>
      <c r="AY10" s="133">
        <v>8</v>
      </c>
      <c r="AZ10" s="133" t="s">
        <v>492</v>
      </c>
      <c r="BA10" s="135" t="str">
        <f t="shared" si="0"/>
        <v>08 - DAMAN AND DIU</v>
      </c>
      <c r="BB10" s="135"/>
      <c r="BC10" s="135"/>
      <c r="BD10" s="135"/>
      <c r="BH10" s="129" t="s">
        <v>491</v>
      </c>
    </row>
    <row r="11" spans="1:255" s="129" customFormat="1" ht="12.75" hidden="1" customHeight="1">
      <c r="A11" s="403"/>
      <c r="B11" s="404"/>
      <c r="C11" s="100"/>
      <c r="D11" s="101"/>
      <c r="E11" s="101"/>
      <c r="F11" s="101"/>
      <c r="G11" s="101"/>
      <c r="H11" s="101"/>
      <c r="I11" s="101"/>
      <c r="J11" s="101"/>
      <c r="K11" s="101"/>
      <c r="L11" s="101"/>
      <c r="M11" s="101"/>
      <c r="N11" s="101"/>
      <c r="O11" s="101"/>
      <c r="P11" s="101"/>
      <c r="Q11" s="101"/>
      <c r="R11" s="101"/>
      <c r="S11" s="101"/>
      <c r="T11" s="101"/>
      <c r="U11" s="102"/>
      <c r="V11" s="103"/>
      <c r="W11" s="103"/>
      <c r="X11" s="103"/>
      <c r="Y11" s="103"/>
      <c r="Z11" s="103"/>
      <c r="AA11" s="103"/>
      <c r="AB11" s="103"/>
      <c r="AC11" s="103"/>
      <c r="AD11" s="103"/>
      <c r="AE11" s="103"/>
      <c r="AF11" s="103"/>
      <c r="AG11" s="103"/>
      <c r="AH11" s="103"/>
      <c r="AI11" s="103"/>
      <c r="AJ11" s="103"/>
      <c r="AK11" s="30"/>
      <c r="AL11" s="96"/>
      <c r="AM11" s="96"/>
      <c r="AN11" s="96"/>
      <c r="AO11" s="96"/>
      <c r="AP11" s="444"/>
      <c r="AQ11" s="444"/>
      <c r="AR11" s="444"/>
      <c r="AS11" s="444"/>
      <c r="AT11" s="444"/>
      <c r="AU11" s="31"/>
      <c r="AV11" s="105"/>
      <c r="AW11" s="104"/>
      <c r="AX11" s="118"/>
      <c r="AY11" s="133">
        <v>9</v>
      </c>
      <c r="AZ11" s="133" t="s">
        <v>494</v>
      </c>
      <c r="BA11" s="135" t="str">
        <f t="shared" si="0"/>
        <v>09 - DELHI</v>
      </c>
      <c r="BB11" s="135"/>
      <c r="BC11" s="135"/>
      <c r="BD11" s="135"/>
      <c r="BH11" s="129" t="s">
        <v>493</v>
      </c>
    </row>
    <row r="12" spans="1:255" s="129" customFormat="1" ht="3" customHeight="1">
      <c r="A12" s="403"/>
      <c r="B12" s="404"/>
      <c r="C12" s="119"/>
      <c r="D12" s="118"/>
      <c r="E12" s="118"/>
      <c r="F12" s="118"/>
      <c r="G12" s="118"/>
      <c r="H12" s="118"/>
      <c r="I12" s="118"/>
      <c r="J12" s="118"/>
      <c r="K12" s="118"/>
      <c r="L12" s="118"/>
      <c r="M12" s="118"/>
      <c r="N12" s="118"/>
      <c r="O12" s="118"/>
      <c r="P12" s="118"/>
      <c r="Q12" s="118"/>
      <c r="R12" s="118"/>
      <c r="S12" s="118"/>
      <c r="T12" s="118"/>
      <c r="U12" s="119"/>
      <c r="V12" s="118"/>
      <c r="W12" s="118"/>
      <c r="X12" s="118"/>
      <c r="Y12" s="118"/>
      <c r="Z12" s="118"/>
      <c r="AA12" s="118"/>
      <c r="AB12" s="118"/>
      <c r="AC12" s="118"/>
      <c r="AD12" s="118"/>
      <c r="AE12" s="118"/>
      <c r="AF12" s="118"/>
      <c r="AG12" s="118"/>
      <c r="AH12" s="118"/>
      <c r="AI12" s="118"/>
      <c r="AJ12" s="118"/>
      <c r="AK12" s="475"/>
      <c r="AL12" s="476"/>
      <c r="AM12" s="476"/>
      <c r="AN12" s="476"/>
      <c r="AO12" s="476"/>
      <c r="AP12" s="476"/>
      <c r="AQ12" s="476"/>
      <c r="AR12" s="476"/>
      <c r="AS12" s="476"/>
      <c r="AT12" s="476"/>
      <c r="AU12" s="477"/>
      <c r="AV12" s="105"/>
      <c r="AW12" s="104"/>
      <c r="AX12" s="118"/>
      <c r="AY12" s="133" t="s">
        <v>496</v>
      </c>
      <c r="AZ12" s="133" t="s">
        <v>497</v>
      </c>
      <c r="BA12" s="135" t="str">
        <f t="shared" si="0"/>
        <v>10 - GOA</v>
      </c>
      <c r="BB12" s="135"/>
      <c r="BC12" s="135"/>
      <c r="BD12" s="135"/>
      <c r="BH12" s="129" t="s">
        <v>495</v>
      </c>
    </row>
    <row r="13" spans="1:255" s="129" customFormat="1" ht="12" customHeight="1">
      <c r="A13" s="403"/>
      <c r="B13" s="404"/>
      <c r="C13" s="343" t="s">
        <v>892</v>
      </c>
      <c r="D13" s="344"/>
      <c r="E13" s="344"/>
      <c r="F13" s="344"/>
      <c r="G13" s="344"/>
      <c r="H13" s="344"/>
      <c r="I13" s="344"/>
      <c r="J13" s="344"/>
      <c r="K13" s="344"/>
      <c r="L13" s="344"/>
      <c r="M13" s="344"/>
      <c r="N13" s="344"/>
      <c r="O13" s="344"/>
      <c r="P13" s="344"/>
      <c r="Q13" s="344"/>
      <c r="R13" s="344"/>
      <c r="S13" s="338"/>
      <c r="T13" s="339"/>
      <c r="U13" s="338" t="s">
        <v>1121</v>
      </c>
      <c r="V13" s="339"/>
      <c r="W13" s="339"/>
      <c r="X13" s="339"/>
      <c r="Y13" s="339"/>
      <c r="Z13" s="339"/>
      <c r="AA13" s="339"/>
      <c r="AB13" s="339"/>
      <c r="AC13" s="339"/>
      <c r="AD13" s="339"/>
      <c r="AE13" s="339"/>
      <c r="AF13" s="339"/>
      <c r="AG13" s="339"/>
      <c r="AH13" s="339"/>
      <c r="AI13" s="339"/>
      <c r="AJ13" s="339"/>
      <c r="AK13" s="478" t="s">
        <v>1123</v>
      </c>
      <c r="AL13" s="479"/>
      <c r="AM13" s="479"/>
      <c r="AN13" s="479"/>
      <c r="AO13" s="479"/>
      <c r="AP13" s="504" t="s">
        <v>515</v>
      </c>
      <c r="AQ13" s="505"/>
      <c r="AR13" s="505"/>
      <c r="AS13" s="505"/>
      <c r="AT13" s="505"/>
      <c r="AU13" s="309"/>
      <c r="AV13" s="105"/>
      <c r="AW13" s="104"/>
      <c r="AX13" s="118"/>
      <c r="AY13" s="133" t="s">
        <v>499</v>
      </c>
      <c r="AZ13" s="133" t="s">
        <v>500</v>
      </c>
      <c r="BA13" s="135" t="str">
        <f t="shared" si="0"/>
        <v>11 - GUJARAT</v>
      </c>
      <c r="BB13" s="135"/>
      <c r="BC13" s="135"/>
      <c r="BD13" s="135"/>
      <c r="BH13" s="129" t="s">
        <v>498</v>
      </c>
    </row>
    <row r="14" spans="1:255" s="129" customFormat="1" ht="25.35" customHeight="1">
      <c r="A14" s="403"/>
      <c r="B14" s="404"/>
      <c r="C14" s="428" t="s">
        <v>1381</v>
      </c>
      <c r="D14" s="429"/>
      <c r="E14" s="429"/>
      <c r="F14" s="429"/>
      <c r="G14" s="429"/>
      <c r="H14" s="429"/>
      <c r="I14" s="429"/>
      <c r="J14" s="429"/>
      <c r="K14" s="429"/>
      <c r="L14" s="429"/>
      <c r="M14" s="429"/>
      <c r="N14" s="429"/>
      <c r="O14" s="429"/>
      <c r="P14" s="429"/>
      <c r="Q14" s="429"/>
      <c r="R14" s="429"/>
      <c r="S14" s="429"/>
      <c r="T14" s="430"/>
      <c r="U14" s="428" t="s">
        <v>1382</v>
      </c>
      <c r="V14" s="429"/>
      <c r="W14" s="429"/>
      <c r="X14" s="429"/>
      <c r="Y14" s="429"/>
      <c r="Z14" s="429"/>
      <c r="AA14" s="429"/>
      <c r="AB14" s="429"/>
      <c r="AC14" s="429"/>
      <c r="AD14" s="429"/>
      <c r="AE14" s="429"/>
      <c r="AF14" s="429"/>
      <c r="AG14" s="429"/>
      <c r="AH14" s="429"/>
      <c r="AI14" s="429"/>
      <c r="AJ14" s="429"/>
      <c r="AK14" s="442" t="s">
        <v>1364</v>
      </c>
      <c r="AL14" s="442"/>
      <c r="AM14" s="442"/>
      <c r="AN14" s="442"/>
      <c r="AO14" s="442"/>
      <c r="AP14" s="482" t="s">
        <v>522</v>
      </c>
      <c r="AQ14" s="482"/>
      <c r="AR14" s="482"/>
      <c r="AS14" s="482"/>
      <c r="AT14" s="121"/>
      <c r="AU14" s="122"/>
      <c r="AV14" s="105"/>
      <c r="AW14" s="104"/>
      <c r="AX14" s="118"/>
      <c r="AY14" s="133" t="s">
        <v>502</v>
      </c>
      <c r="AZ14" s="133" t="s">
        <v>503</v>
      </c>
      <c r="BA14" s="135" t="str">
        <f t="shared" si="0"/>
        <v>12 - HARYANA</v>
      </c>
      <c r="BB14" s="135"/>
      <c r="BC14" s="135"/>
      <c r="BD14" s="135"/>
      <c r="BH14" s="129" t="s">
        <v>501</v>
      </c>
    </row>
    <row r="15" spans="1:255" s="129" customFormat="1" ht="12.75" hidden="1" customHeight="1">
      <c r="A15" s="403"/>
      <c r="B15" s="404"/>
      <c r="C15" s="102"/>
      <c r="D15" s="103"/>
      <c r="E15" s="103"/>
      <c r="F15" s="103"/>
      <c r="G15" s="103"/>
      <c r="H15" s="103"/>
      <c r="I15" s="103"/>
      <c r="J15" s="103"/>
      <c r="K15" s="103"/>
      <c r="L15" s="103"/>
      <c r="M15" s="103"/>
      <c r="N15" s="103"/>
      <c r="O15" s="103"/>
      <c r="P15" s="103"/>
      <c r="Q15" s="103"/>
      <c r="R15" s="103"/>
      <c r="S15" s="103"/>
      <c r="T15" s="103"/>
      <c r="U15" s="102"/>
      <c r="V15" s="103"/>
      <c r="W15" s="103"/>
      <c r="X15" s="103"/>
      <c r="Y15" s="103"/>
      <c r="Z15" s="103"/>
      <c r="AA15" s="103"/>
      <c r="AB15" s="103"/>
      <c r="AC15" s="103"/>
      <c r="AD15" s="103"/>
      <c r="AE15" s="103"/>
      <c r="AF15" s="103"/>
      <c r="AG15" s="103"/>
      <c r="AH15" s="103"/>
      <c r="AI15" s="103"/>
      <c r="AJ15" s="103"/>
      <c r="AK15" s="17"/>
      <c r="AL15" s="14"/>
      <c r="AM15" s="96"/>
      <c r="AN15" s="96"/>
      <c r="AO15" s="96"/>
      <c r="AP15" s="96"/>
      <c r="AQ15" s="96"/>
      <c r="AR15" s="96"/>
      <c r="AS15" s="410"/>
      <c r="AT15" s="410"/>
      <c r="AU15" s="411"/>
      <c r="AV15" s="105"/>
      <c r="AW15" s="104"/>
      <c r="AX15" s="118"/>
      <c r="AY15" s="133" t="s">
        <v>506</v>
      </c>
      <c r="AZ15" s="133" t="s">
        <v>507</v>
      </c>
      <c r="BA15" s="135" t="str">
        <f t="shared" si="0"/>
        <v>13 - HIMACHAL PRADESH</v>
      </c>
      <c r="BB15" s="135"/>
      <c r="BC15" s="135"/>
      <c r="BD15" s="135"/>
      <c r="BH15" s="129" t="s">
        <v>504</v>
      </c>
    </row>
    <row r="16" spans="1:255" s="134" customFormat="1" ht="3" customHeight="1">
      <c r="A16" s="403"/>
      <c r="B16" s="404"/>
      <c r="C16" s="119"/>
      <c r="D16" s="118"/>
      <c r="E16" s="118"/>
      <c r="F16" s="118"/>
      <c r="G16" s="118"/>
      <c r="H16" s="118"/>
      <c r="I16" s="118"/>
      <c r="J16" s="118"/>
      <c r="K16" s="118"/>
      <c r="L16" s="118"/>
      <c r="M16" s="118"/>
      <c r="N16" s="118"/>
      <c r="O16" s="118"/>
      <c r="P16" s="118"/>
      <c r="Q16" s="118"/>
      <c r="R16" s="118"/>
      <c r="S16" s="118"/>
      <c r="T16" s="118"/>
      <c r="U16" s="119"/>
      <c r="V16" s="118"/>
      <c r="W16" s="118"/>
      <c r="X16" s="118"/>
      <c r="Y16" s="118"/>
      <c r="Z16" s="118"/>
      <c r="AA16" s="118"/>
      <c r="AB16" s="118"/>
      <c r="AC16" s="118"/>
      <c r="AD16" s="118"/>
      <c r="AE16" s="118"/>
      <c r="AF16" s="118"/>
      <c r="AG16" s="118"/>
      <c r="AH16" s="118"/>
      <c r="AI16" s="118"/>
      <c r="AJ16" s="118"/>
      <c r="AK16" s="475"/>
      <c r="AL16" s="476"/>
      <c r="AM16" s="476"/>
      <c r="AN16" s="476"/>
      <c r="AO16" s="476"/>
      <c r="AP16" s="476"/>
      <c r="AQ16" s="476"/>
      <c r="AR16" s="476"/>
      <c r="AS16" s="476"/>
      <c r="AT16" s="476"/>
      <c r="AU16" s="477"/>
      <c r="AV16" s="105"/>
      <c r="AW16" s="104"/>
      <c r="AX16" s="118"/>
      <c r="AY16" s="133" t="s">
        <v>510</v>
      </c>
      <c r="AZ16" s="133" t="s">
        <v>511</v>
      </c>
      <c r="BA16" s="135" t="str">
        <f t="shared" si="0"/>
        <v>19 - MAHARASHTRA</v>
      </c>
      <c r="BB16" s="135"/>
      <c r="BC16" s="135"/>
      <c r="BD16" s="135"/>
      <c r="BE16" s="129"/>
      <c r="BF16" s="129"/>
      <c r="BG16" s="129"/>
      <c r="BH16" s="129" t="s">
        <v>508</v>
      </c>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c r="DQ16" s="129"/>
      <c r="DR16" s="129"/>
      <c r="DS16" s="129"/>
      <c r="DT16" s="129"/>
      <c r="DU16" s="129"/>
      <c r="DV16" s="129"/>
      <c r="DW16" s="129"/>
      <c r="DX16" s="129"/>
      <c r="DY16" s="129"/>
      <c r="DZ16" s="129"/>
      <c r="EA16" s="129"/>
      <c r="EB16" s="129"/>
      <c r="EC16" s="129"/>
      <c r="ED16" s="129"/>
      <c r="EE16" s="129"/>
      <c r="EF16" s="129"/>
      <c r="EG16" s="129"/>
      <c r="EH16" s="129"/>
      <c r="EI16" s="129"/>
      <c r="EJ16" s="129"/>
      <c r="EK16" s="129"/>
      <c r="EL16" s="129"/>
      <c r="EM16" s="129"/>
      <c r="EN16" s="129"/>
      <c r="EO16" s="129"/>
      <c r="EP16" s="129"/>
      <c r="EQ16" s="129"/>
      <c r="ER16" s="129"/>
      <c r="ES16" s="129"/>
      <c r="ET16" s="129"/>
      <c r="EU16" s="129"/>
      <c r="EV16" s="129"/>
      <c r="EW16" s="129"/>
      <c r="EX16" s="129"/>
      <c r="EY16" s="129"/>
      <c r="EZ16" s="129"/>
      <c r="FA16" s="129"/>
      <c r="FB16" s="129"/>
      <c r="FC16" s="129"/>
      <c r="FD16" s="129"/>
      <c r="FE16" s="129"/>
      <c r="FF16" s="129"/>
      <c r="FG16" s="129"/>
      <c r="FH16" s="129"/>
      <c r="FI16" s="129"/>
      <c r="FJ16" s="129"/>
      <c r="FK16" s="129"/>
      <c r="FL16" s="129"/>
      <c r="FM16" s="129"/>
      <c r="FN16" s="129"/>
      <c r="FO16" s="129"/>
      <c r="FP16" s="129"/>
      <c r="FQ16" s="129"/>
      <c r="FR16" s="129"/>
      <c r="FS16" s="129"/>
      <c r="FT16" s="129"/>
      <c r="FU16" s="129"/>
      <c r="FV16" s="129"/>
      <c r="FW16" s="129"/>
      <c r="FX16" s="129"/>
      <c r="FY16" s="129"/>
      <c r="FZ16" s="129"/>
      <c r="GA16" s="129"/>
      <c r="GB16" s="129"/>
      <c r="GC16" s="129"/>
      <c r="GD16" s="129"/>
      <c r="GE16" s="129"/>
      <c r="GF16" s="129"/>
      <c r="GG16" s="129"/>
      <c r="GH16" s="129"/>
      <c r="GI16" s="129"/>
      <c r="GJ16" s="129"/>
      <c r="GK16" s="129"/>
      <c r="GL16" s="129"/>
      <c r="GM16" s="129"/>
      <c r="GN16" s="129"/>
      <c r="GO16" s="129"/>
      <c r="GP16" s="129"/>
      <c r="GQ16" s="129"/>
      <c r="GR16" s="129"/>
      <c r="GS16" s="129"/>
      <c r="GT16" s="129"/>
      <c r="GU16" s="129"/>
      <c r="GV16" s="129"/>
      <c r="GW16" s="129"/>
      <c r="GX16" s="129"/>
      <c r="GY16" s="129"/>
      <c r="GZ16" s="129"/>
      <c r="HA16" s="129"/>
      <c r="HB16" s="129"/>
      <c r="HC16" s="129"/>
      <c r="HD16" s="129"/>
      <c r="HE16" s="129"/>
      <c r="HF16" s="129"/>
      <c r="HG16" s="129"/>
      <c r="HH16" s="129"/>
      <c r="HI16" s="129"/>
      <c r="HJ16" s="129"/>
      <c r="HK16" s="129"/>
      <c r="HL16" s="129"/>
      <c r="HM16" s="129"/>
      <c r="HN16" s="129"/>
      <c r="HO16" s="129"/>
      <c r="HP16" s="129"/>
      <c r="HQ16" s="129"/>
      <c r="HR16" s="129"/>
      <c r="HS16" s="129"/>
      <c r="HT16" s="129"/>
      <c r="HU16" s="129"/>
      <c r="HV16" s="129"/>
      <c r="HW16" s="129"/>
      <c r="HX16" s="129"/>
      <c r="HY16" s="129"/>
      <c r="HZ16" s="129"/>
      <c r="IA16" s="129"/>
      <c r="IB16" s="129"/>
      <c r="IC16" s="129"/>
      <c r="ID16" s="129"/>
      <c r="IE16" s="129"/>
      <c r="IF16" s="129"/>
      <c r="IG16" s="129"/>
      <c r="IH16" s="129"/>
      <c r="II16" s="129"/>
      <c r="IJ16" s="129"/>
      <c r="IK16" s="129"/>
      <c r="IL16" s="129"/>
      <c r="IM16" s="129"/>
      <c r="IN16" s="129"/>
      <c r="IO16" s="129"/>
      <c r="IP16" s="129"/>
      <c r="IQ16" s="129"/>
      <c r="IR16" s="129"/>
      <c r="IS16" s="129"/>
      <c r="IT16" s="129"/>
      <c r="IU16" s="129"/>
    </row>
    <row r="17" spans="1:63" s="129" customFormat="1" ht="12" customHeight="1">
      <c r="A17" s="403"/>
      <c r="B17" s="404"/>
      <c r="C17" s="338" t="s">
        <v>513</v>
      </c>
      <c r="D17" s="339"/>
      <c r="E17" s="339"/>
      <c r="F17" s="339"/>
      <c r="G17" s="339"/>
      <c r="H17" s="339"/>
      <c r="I17" s="339"/>
      <c r="J17" s="339"/>
      <c r="K17" s="339"/>
      <c r="L17" s="339"/>
      <c r="M17" s="339"/>
      <c r="N17" s="339"/>
      <c r="O17" s="339"/>
      <c r="P17" s="339"/>
      <c r="Q17" s="339"/>
      <c r="R17" s="339"/>
      <c r="S17" s="339"/>
      <c r="T17" s="339"/>
      <c r="U17" s="338" t="s">
        <v>332</v>
      </c>
      <c r="V17" s="339"/>
      <c r="W17" s="339"/>
      <c r="X17" s="339"/>
      <c r="Y17" s="339"/>
      <c r="Z17" s="339"/>
      <c r="AA17" s="339"/>
      <c r="AB17" s="339"/>
      <c r="AC17" s="339"/>
      <c r="AD17" s="338" t="s">
        <v>1124</v>
      </c>
      <c r="AE17" s="339"/>
      <c r="AF17" s="339"/>
      <c r="AG17" s="339"/>
      <c r="AH17" s="339"/>
      <c r="AI17" s="339"/>
      <c r="AJ17" s="339"/>
      <c r="AK17" s="339"/>
      <c r="AL17" s="339"/>
      <c r="AM17" s="339"/>
      <c r="AN17" s="340"/>
      <c r="AO17" s="338" t="s">
        <v>514</v>
      </c>
      <c r="AP17" s="339"/>
      <c r="AQ17" s="339"/>
      <c r="AR17" s="339"/>
      <c r="AS17" s="339"/>
      <c r="AT17" s="339"/>
      <c r="AU17" s="339"/>
      <c r="AV17" s="105"/>
      <c r="AW17" s="104"/>
      <c r="AX17" s="272"/>
      <c r="AY17" s="133" t="s">
        <v>516</v>
      </c>
      <c r="AZ17" s="133" t="s">
        <v>517</v>
      </c>
      <c r="BA17" s="135" t="str">
        <f t="shared" si="0"/>
        <v>22 - MIZORAM</v>
      </c>
      <c r="BB17" s="135"/>
      <c r="BC17" s="135"/>
      <c r="BD17" s="135"/>
      <c r="BH17" s="129" t="s">
        <v>512</v>
      </c>
    </row>
    <row r="18" spans="1:63" s="129" customFormat="1" ht="25.35" customHeight="1">
      <c r="A18" s="403"/>
      <c r="B18" s="404"/>
      <c r="C18" s="428" t="s">
        <v>1365</v>
      </c>
      <c r="D18" s="429"/>
      <c r="E18" s="429"/>
      <c r="F18" s="429"/>
      <c r="G18" s="429"/>
      <c r="H18" s="429"/>
      <c r="I18" s="429"/>
      <c r="J18" s="429"/>
      <c r="K18" s="429"/>
      <c r="L18" s="429"/>
      <c r="M18" s="429"/>
      <c r="N18" s="429"/>
      <c r="O18" s="429"/>
      <c r="P18" s="429"/>
      <c r="Q18" s="429"/>
      <c r="R18" s="429"/>
      <c r="S18" s="429"/>
      <c r="T18" s="430"/>
      <c r="U18" s="345" t="s">
        <v>588</v>
      </c>
      <c r="V18" s="341"/>
      <c r="W18" s="341"/>
      <c r="X18" s="341"/>
      <c r="Y18" s="341"/>
      <c r="Z18" s="341"/>
      <c r="AA18" s="341"/>
      <c r="AB18" s="341"/>
      <c r="AC18" s="105"/>
      <c r="AD18" s="345" t="s">
        <v>1358</v>
      </c>
      <c r="AE18" s="341"/>
      <c r="AF18" s="341"/>
      <c r="AG18" s="341"/>
      <c r="AH18" s="341"/>
      <c r="AI18" s="341"/>
      <c r="AJ18" s="341"/>
      <c r="AK18" s="341"/>
      <c r="AL18" s="341"/>
      <c r="AM18" s="341"/>
      <c r="AN18" s="342"/>
      <c r="AO18" s="345">
        <v>251001</v>
      </c>
      <c r="AP18" s="341"/>
      <c r="AQ18" s="341"/>
      <c r="AR18" s="341"/>
      <c r="AS18" s="341"/>
      <c r="AT18" s="341"/>
      <c r="AU18" s="342"/>
      <c r="AV18" s="105"/>
      <c r="AW18" s="104"/>
      <c r="AX18" s="118"/>
      <c r="AY18" s="133" t="s">
        <v>519</v>
      </c>
      <c r="AZ18" s="133" t="s">
        <v>520</v>
      </c>
      <c r="BA18" s="135" t="str">
        <f t="shared" si="0"/>
        <v>23 - NAGALAND</v>
      </c>
      <c r="BB18" s="135"/>
      <c r="BC18" s="135"/>
      <c r="BD18" s="135"/>
      <c r="BH18" s="129" t="s">
        <v>518</v>
      </c>
    </row>
    <row r="19" spans="1:63" s="129" customFormat="1" ht="12.75" hidden="1" customHeight="1">
      <c r="A19" s="403"/>
      <c r="B19" s="404"/>
      <c r="C19" s="102"/>
      <c r="D19" s="103"/>
      <c r="E19" s="103"/>
      <c r="F19" s="103"/>
      <c r="G19" s="103"/>
      <c r="H19" s="103"/>
      <c r="I19" s="103"/>
      <c r="J19" s="103"/>
      <c r="K19" s="103"/>
      <c r="L19" s="103"/>
      <c r="M19" s="103"/>
      <c r="N19" s="103"/>
      <c r="O19" s="103"/>
      <c r="P19" s="103"/>
      <c r="Q19" s="103"/>
      <c r="R19" s="103"/>
      <c r="S19" s="103"/>
      <c r="T19" s="103"/>
      <c r="U19" s="124"/>
      <c r="V19" s="123"/>
      <c r="W19" s="123"/>
      <c r="X19" s="123"/>
      <c r="Y19" s="123"/>
      <c r="Z19" s="123"/>
      <c r="AA19" s="123"/>
      <c r="AB19" s="123"/>
      <c r="AC19" s="14"/>
      <c r="AD19" s="124"/>
      <c r="AE19" s="96"/>
      <c r="AF19" s="96"/>
      <c r="AG19" s="96"/>
      <c r="AH19" s="96"/>
      <c r="AI19" s="96"/>
      <c r="AJ19" s="96"/>
      <c r="AK19" s="506"/>
      <c r="AL19" s="410"/>
      <c r="AM19" s="410"/>
      <c r="AN19" s="410"/>
      <c r="AO19" s="96"/>
      <c r="AP19" s="96"/>
      <c r="AQ19" s="96"/>
      <c r="AR19" s="96"/>
      <c r="AS19" s="410"/>
      <c r="AT19" s="410"/>
      <c r="AU19" s="411"/>
      <c r="AV19" s="105"/>
      <c r="AW19" s="104"/>
      <c r="AX19" s="118"/>
      <c r="AY19" s="133" t="s">
        <v>523</v>
      </c>
      <c r="AZ19" s="133" t="s">
        <v>524</v>
      </c>
      <c r="BA19" s="135" t="str">
        <f t="shared" si="0"/>
        <v>24 - ORISSA</v>
      </c>
      <c r="BB19" s="135"/>
      <c r="BC19" s="135"/>
      <c r="BD19" s="135"/>
      <c r="BH19" s="129" t="s">
        <v>521</v>
      </c>
    </row>
    <row r="20" spans="1:63" s="129" customFormat="1" ht="3" customHeight="1">
      <c r="A20" s="403"/>
      <c r="B20" s="404"/>
      <c r="C20" s="119"/>
      <c r="D20" s="118"/>
      <c r="E20" s="118"/>
      <c r="F20" s="118"/>
      <c r="G20" s="118"/>
      <c r="H20" s="118"/>
      <c r="I20" s="118"/>
      <c r="J20" s="118"/>
      <c r="K20" s="118"/>
      <c r="L20" s="118"/>
      <c r="M20" s="118"/>
      <c r="N20" s="118"/>
      <c r="O20" s="118"/>
      <c r="P20" s="118"/>
      <c r="Q20" s="118"/>
      <c r="R20" s="118"/>
      <c r="S20" s="118"/>
      <c r="T20" s="118"/>
      <c r="U20" s="30"/>
      <c r="V20" s="126"/>
      <c r="W20" s="126"/>
      <c r="X20" s="126"/>
      <c r="Y20" s="126"/>
      <c r="Z20" s="126"/>
      <c r="AA20" s="126"/>
      <c r="AB20" s="126"/>
      <c r="AC20" s="126"/>
      <c r="AD20" s="30"/>
      <c r="AE20" s="126"/>
      <c r="AF20" s="126"/>
      <c r="AG20" s="126"/>
      <c r="AH20" s="126"/>
      <c r="AI20" s="126"/>
      <c r="AJ20" s="126"/>
      <c r="AK20" s="437"/>
      <c r="AL20" s="438"/>
      <c r="AM20" s="438"/>
      <c r="AN20" s="438"/>
      <c r="AO20" s="438"/>
      <c r="AP20" s="438"/>
      <c r="AQ20" s="438"/>
      <c r="AR20" s="438"/>
      <c r="AS20" s="438"/>
      <c r="AT20" s="438"/>
      <c r="AU20" s="439"/>
      <c r="AV20" s="105"/>
      <c r="AW20" s="104"/>
      <c r="AX20" s="118"/>
      <c r="AY20" s="133" t="s">
        <v>527</v>
      </c>
      <c r="AZ20" s="133" t="s">
        <v>528</v>
      </c>
      <c r="BA20" s="135" t="str">
        <f t="shared" si="0"/>
        <v>27 - RAJASTHAN</v>
      </c>
      <c r="BB20" s="135"/>
      <c r="BC20" s="135" t="s">
        <v>1318</v>
      </c>
      <c r="BD20" s="135"/>
      <c r="BH20" s="129" t="s">
        <v>525</v>
      </c>
    </row>
    <row r="21" spans="1:63" s="129" customFormat="1" ht="57" customHeight="1">
      <c r="A21" s="403"/>
      <c r="B21" s="424"/>
      <c r="C21" s="338" t="s">
        <v>633</v>
      </c>
      <c r="D21" s="339"/>
      <c r="E21" s="339"/>
      <c r="F21" s="339"/>
      <c r="G21" s="339"/>
      <c r="H21" s="339"/>
      <c r="I21" s="339"/>
      <c r="J21" s="339"/>
      <c r="K21" s="339"/>
      <c r="L21" s="339"/>
      <c r="M21" s="339"/>
      <c r="N21" s="339"/>
      <c r="O21" s="339"/>
      <c r="P21" s="339"/>
      <c r="Q21" s="339"/>
      <c r="R21" s="339"/>
      <c r="S21" s="339"/>
      <c r="T21" s="340"/>
      <c r="U21" s="422" t="s">
        <v>1334</v>
      </c>
      <c r="V21" s="423"/>
      <c r="W21" s="423"/>
      <c r="X21" s="423"/>
      <c r="Y21" s="336" t="s">
        <v>530</v>
      </c>
      <c r="Z21" s="337"/>
      <c r="AA21" s="337"/>
      <c r="AB21" s="337"/>
      <c r="AC21" s="337"/>
      <c r="AD21" s="336" t="s">
        <v>1333</v>
      </c>
      <c r="AE21" s="337"/>
      <c r="AF21" s="337"/>
      <c r="AG21" s="337"/>
      <c r="AH21" s="337"/>
      <c r="AI21" s="337"/>
      <c r="AJ21" s="337"/>
      <c r="AK21" s="336" t="s">
        <v>1336</v>
      </c>
      <c r="AL21" s="337"/>
      <c r="AM21" s="337"/>
      <c r="AN21" s="337"/>
      <c r="AO21" s="308"/>
      <c r="AP21" s="308"/>
      <c r="AQ21" s="501" t="s">
        <v>1335</v>
      </c>
      <c r="AR21" s="502"/>
      <c r="AS21" s="502"/>
      <c r="AT21" s="502"/>
      <c r="AU21" s="503"/>
      <c r="AV21" s="105"/>
      <c r="AW21" s="104"/>
      <c r="AX21" s="118"/>
      <c r="AY21" s="133" t="s">
        <v>531</v>
      </c>
      <c r="AZ21" s="133" t="s">
        <v>532</v>
      </c>
      <c r="BA21" s="135" t="str">
        <f t="shared" si="0"/>
        <v>28 - SIKKIM</v>
      </c>
      <c r="BB21" s="135"/>
      <c r="BC21" s="135" t="s">
        <v>3</v>
      </c>
      <c r="BD21" s="135"/>
      <c r="BH21" s="129" t="s">
        <v>529</v>
      </c>
    </row>
    <row r="22" spans="1:63" s="129" customFormat="1" ht="12.75" customHeight="1">
      <c r="A22" s="405"/>
      <c r="B22" s="425"/>
      <c r="C22" s="346" t="s">
        <v>1366</v>
      </c>
      <c r="D22" s="347"/>
      <c r="E22" s="347"/>
      <c r="F22" s="347"/>
      <c r="G22" s="347"/>
      <c r="H22" s="347"/>
      <c r="I22" s="347"/>
      <c r="J22" s="347"/>
      <c r="K22" s="347"/>
      <c r="L22" s="347"/>
      <c r="M22" s="347"/>
      <c r="N22" s="347"/>
      <c r="O22" s="347"/>
      <c r="P22" s="347"/>
      <c r="Q22" s="347"/>
      <c r="R22" s="347"/>
      <c r="S22" s="347"/>
      <c r="T22" s="348"/>
      <c r="U22" s="421">
        <v>9412213862</v>
      </c>
      <c r="V22" s="421"/>
      <c r="W22" s="421"/>
      <c r="X22" s="483"/>
      <c r="Y22" s="441"/>
      <c r="Z22" s="442"/>
      <c r="AA22" s="442"/>
      <c r="AB22" s="442"/>
      <c r="AC22" s="442"/>
      <c r="AD22" s="345"/>
      <c r="AE22" s="341"/>
      <c r="AF22" s="341"/>
      <c r="AG22" s="341"/>
      <c r="AH22" s="341"/>
      <c r="AI22" s="341"/>
      <c r="AJ22" s="341"/>
      <c r="AK22" s="421"/>
      <c r="AL22" s="421"/>
      <c r="AM22" s="421"/>
      <c r="AN22" s="421"/>
      <c r="AO22" s="421"/>
      <c r="AP22" s="421"/>
      <c r="AQ22" s="421" t="s">
        <v>569</v>
      </c>
      <c r="AR22" s="421"/>
      <c r="AS22" s="421"/>
      <c r="AT22" s="421"/>
      <c r="AU22" s="114"/>
      <c r="AV22" s="105"/>
      <c r="AW22" s="104"/>
      <c r="AX22" s="118"/>
      <c r="AY22" s="133" t="s">
        <v>537</v>
      </c>
      <c r="AZ22" s="133" t="s">
        <v>538</v>
      </c>
      <c r="BA22" s="135" t="str">
        <f t="shared" si="0"/>
        <v>29 - TAMILNADU</v>
      </c>
      <c r="BB22" s="135"/>
      <c r="BC22" s="135" t="s">
        <v>1067</v>
      </c>
      <c r="BD22" s="135"/>
      <c r="BH22" s="129" t="s">
        <v>533</v>
      </c>
    </row>
    <row r="23" spans="1:63" s="129" customFormat="1" ht="12" customHeight="1">
      <c r="A23" s="401" t="s">
        <v>535</v>
      </c>
      <c r="B23" s="402"/>
      <c r="C23" s="343" t="s">
        <v>893</v>
      </c>
      <c r="D23" s="344"/>
      <c r="E23" s="344"/>
      <c r="F23" s="344"/>
      <c r="G23" s="344"/>
      <c r="H23" s="344"/>
      <c r="I23" s="344"/>
      <c r="J23" s="344"/>
      <c r="K23" s="344"/>
      <c r="L23" s="344"/>
      <c r="M23" s="344"/>
      <c r="N23" s="344"/>
      <c r="O23" s="344"/>
      <c r="P23" s="344"/>
      <c r="Q23" s="344"/>
      <c r="R23" s="344"/>
      <c r="S23" s="344"/>
      <c r="T23" s="344"/>
      <c r="U23" s="344"/>
      <c r="V23" s="344"/>
      <c r="W23" s="344"/>
      <c r="X23" s="98"/>
      <c r="Y23" s="98"/>
      <c r="Z23" s="98"/>
      <c r="AA23" s="98"/>
      <c r="AB23" s="98"/>
      <c r="AC23" s="99"/>
      <c r="AD23" s="339" t="s">
        <v>541</v>
      </c>
      <c r="AE23" s="339"/>
      <c r="AF23" s="339"/>
      <c r="AG23" s="339"/>
      <c r="AH23" s="339"/>
      <c r="AI23" s="339"/>
      <c r="AJ23" s="339"/>
      <c r="AK23" s="339"/>
      <c r="AL23" s="339"/>
      <c r="AM23" s="339"/>
      <c r="AN23" s="339"/>
      <c r="AO23" s="339"/>
      <c r="AP23" s="454"/>
      <c r="AQ23" s="454"/>
      <c r="AR23" s="454"/>
      <c r="AS23" s="454"/>
      <c r="AT23" s="454"/>
      <c r="AU23" s="455"/>
      <c r="AV23" s="105"/>
      <c r="AW23" s="104"/>
      <c r="AX23" s="118"/>
      <c r="AY23" s="133" t="s">
        <v>542</v>
      </c>
      <c r="AZ23" s="133" t="s">
        <v>543</v>
      </c>
      <c r="BA23" s="135" t="str">
        <f t="shared" si="0"/>
        <v>30 - TRIPURA</v>
      </c>
      <c r="BB23" s="135"/>
      <c r="BC23" s="135" t="s">
        <v>1068</v>
      </c>
      <c r="BD23" s="135"/>
      <c r="BH23" s="129" t="s">
        <v>539</v>
      </c>
    </row>
    <row r="24" spans="1:63" s="129" customFormat="1" ht="12.75" customHeight="1">
      <c r="A24" s="403"/>
      <c r="B24" s="404"/>
      <c r="C24" s="507" t="s">
        <v>1367</v>
      </c>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83"/>
      <c r="AD24" s="412" t="s">
        <v>34</v>
      </c>
      <c r="AE24" s="412"/>
      <c r="AF24" s="412"/>
      <c r="AG24" s="412"/>
      <c r="AH24" s="412"/>
      <c r="AI24" s="412"/>
      <c r="AJ24" s="412"/>
      <c r="AK24" s="412"/>
      <c r="AL24" s="412"/>
      <c r="AM24" s="412"/>
      <c r="AN24" s="421" t="s">
        <v>1328</v>
      </c>
      <c r="AO24" s="421"/>
      <c r="AP24" s="421"/>
      <c r="AQ24" s="421"/>
      <c r="AR24" s="421"/>
      <c r="AS24" s="421"/>
      <c r="AT24" s="421"/>
      <c r="AU24" s="173"/>
      <c r="AV24" s="105"/>
      <c r="AW24" s="104"/>
      <c r="AX24" s="118"/>
      <c r="AY24" s="133" t="s">
        <v>547</v>
      </c>
      <c r="AZ24" s="133" t="s">
        <v>548</v>
      </c>
      <c r="BA24" s="135" t="str">
        <f t="shared" si="0"/>
        <v>31 - UTTAR PRADESH</v>
      </c>
      <c r="BB24" s="135"/>
      <c r="BC24" s="135" t="s">
        <v>569</v>
      </c>
      <c r="BD24" s="135"/>
      <c r="BH24" s="129" t="s">
        <v>544</v>
      </c>
    </row>
    <row r="25" spans="1:63" s="129" customFormat="1" ht="5.0999999999999996" hidden="1" customHeight="1">
      <c r="A25" s="403"/>
      <c r="B25" s="404"/>
      <c r="C25" s="452"/>
      <c r="D25" s="453"/>
      <c r="E25" s="453"/>
      <c r="F25" s="453"/>
      <c r="G25" s="453"/>
      <c r="H25" s="453"/>
      <c r="I25" s="453"/>
      <c r="J25" s="453"/>
      <c r="K25" s="453"/>
      <c r="L25" s="453"/>
      <c r="M25" s="453"/>
      <c r="N25" s="453"/>
      <c r="O25" s="453"/>
      <c r="P25" s="453"/>
      <c r="Q25" s="453"/>
      <c r="R25" s="453"/>
      <c r="S25" s="453"/>
      <c r="T25" s="453"/>
      <c r="U25" s="453"/>
      <c r="V25" s="453"/>
      <c r="W25" s="453"/>
      <c r="X25" s="453"/>
      <c r="Y25" s="453"/>
      <c r="Z25" s="453"/>
      <c r="AA25" s="453"/>
      <c r="AB25" s="453"/>
      <c r="AC25" s="453"/>
      <c r="AD25" s="454"/>
      <c r="AE25" s="454"/>
      <c r="AF25" s="454"/>
      <c r="AG25" s="454"/>
      <c r="AH25" s="454"/>
      <c r="AI25" s="454"/>
      <c r="AJ25" s="454"/>
      <c r="AK25" s="454"/>
      <c r="AL25" s="454"/>
      <c r="AM25" s="454"/>
      <c r="AN25" s="454"/>
      <c r="AO25" s="454"/>
      <c r="AP25" s="454"/>
      <c r="AQ25" s="454"/>
      <c r="AR25" s="454"/>
      <c r="AS25" s="454"/>
      <c r="AT25" s="454"/>
      <c r="AU25" s="455"/>
      <c r="AV25" s="105"/>
      <c r="AW25" s="104"/>
      <c r="AX25" s="118"/>
      <c r="AY25" s="133" t="s">
        <v>551</v>
      </c>
      <c r="AZ25" s="133" t="s">
        <v>552</v>
      </c>
      <c r="BA25" s="135" t="str">
        <f t="shared" si="0"/>
        <v>32 - WEST BENGAL</v>
      </c>
      <c r="BB25" s="135"/>
      <c r="BC25" s="135"/>
      <c r="BD25" s="135"/>
      <c r="BH25" s="129" t="s">
        <v>549</v>
      </c>
    </row>
    <row r="26" spans="1:63" s="129" customFormat="1" ht="12.75" customHeight="1">
      <c r="A26" s="403"/>
      <c r="B26" s="404"/>
      <c r="C26" s="324" t="s">
        <v>1348</v>
      </c>
      <c r="D26" s="325"/>
      <c r="E26" s="325"/>
      <c r="F26" s="325"/>
      <c r="G26" s="325"/>
      <c r="H26" s="325"/>
      <c r="I26" s="325"/>
      <c r="J26" s="325"/>
      <c r="K26" s="325"/>
      <c r="L26" s="325"/>
      <c r="M26" s="325"/>
      <c r="N26" s="325"/>
      <c r="O26" s="325"/>
      <c r="P26" s="325"/>
      <c r="Q26" s="325"/>
      <c r="R26" s="325"/>
      <c r="S26" s="325"/>
      <c r="T26" s="325"/>
      <c r="U26" s="325"/>
      <c r="V26" s="325"/>
      <c r="W26" s="325"/>
      <c r="X26" s="325"/>
      <c r="Y26" s="341" t="s">
        <v>585</v>
      </c>
      <c r="Z26" s="341"/>
      <c r="AA26" s="341"/>
      <c r="AB26" s="341"/>
      <c r="AC26" s="342"/>
      <c r="AD26" s="324" t="s">
        <v>1319</v>
      </c>
      <c r="AE26" s="325"/>
      <c r="AF26" s="325"/>
      <c r="AG26" s="325"/>
      <c r="AH26" s="325"/>
      <c r="AI26" s="325"/>
      <c r="AJ26" s="325"/>
      <c r="AK26" s="325"/>
      <c r="AL26" s="325"/>
      <c r="AM26" s="325"/>
      <c r="AN26" s="341" t="s">
        <v>554</v>
      </c>
      <c r="AO26" s="341" t="s">
        <v>554</v>
      </c>
      <c r="AP26" s="341" t="s">
        <v>554</v>
      </c>
      <c r="AQ26" s="341" t="s">
        <v>554</v>
      </c>
      <c r="AR26" s="341" t="s">
        <v>554</v>
      </c>
      <c r="AS26" s="341" t="s">
        <v>554</v>
      </c>
      <c r="AT26" s="341" t="s">
        <v>554</v>
      </c>
      <c r="AU26" s="310"/>
      <c r="AV26" s="105"/>
      <c r="AW26" s="104"/>
      <c r="AX26" s="118"/>
      <c r="AY26" s="129">
        <v>99</v>
      </c>
      <c r="AZ26" s="133" t="s">
        <v>555</v>
      </c>
      <c r="BA26" s="135" t="str">
        <f t="shared" si="0"/>
        <v>99 - FOREIGN</v>
      </c>
      <c r="BB26" s="168"/>
      <c r="BC26" s="168"/>
      <c r="BD26" s="135"/>
      <c r="BH26" s="129" t="s">
        <v>553</v>
      </c>
    </row>
    <row r="27" spans="1:63" s="129" customFormat="1" ht="5.0999999999999996" customHeight="1">
      <c r="A27" s="403"/>
      <c r="B27" s="404"/>
      <c r="C27" s="413"/>
      <c r="D27" s="414"/>
      <c r="E27" s="414"/>
      <c r="F27" s="414"/>
      <c r="G27" s="414"/>
      <c r="H27" s="414"/>
      <c r="I27" s="414"/>
      <c r="J27" s="414"/>
      <c r="K27" s="414"/>
      <c r="L27" s="414"/>
      <c r="M27" s="414"/>
      <c r="N27" s="414"/>
      <c r="O27" s="414"/>
      <c r="P27" s="414"/>
      <c r="Q27" s="414"/>
      <c r="R27" s="414"/>
      <c r="S27" s="414"/>
      <c r="T27" s="414"/>
      <c r="U27" s="414"/>
      <c r="V27" s="414"/>
      <c r="W27" s="414"/>
      <c r="X27" s="414"/>
      <c r="Y27" s="414"/>
      <c r="Z27" s="414"/>
      <c r="AA27" s="414"/>
      <c r="AB27" s="414"/>
      <c r="AC27" s="414"/>
      <c r="AD27" s="414"/>
      <c r="AE27" s="414"/>
      <c r="AF27" s="414"/>
      <c r="AG27" s="414"/>
      <c r="AH27" s="414"/>
      <c r="AI27" s="414"/>
      <c r="AJ27" s="414"/>
      <c r="AK27" s="414"/>
      <c r="AL27" s="414"/>
      <c r="AM27" s="414"/>
      <c r="AN27" s="414"/>
      <c r="AO27" s="414"/>
      <c r="AP27" s="414"/>
      <c r="AQ27" s="414"/>
      <c r="AR27" s="414"/>
      <c r="AS27" s="414"/>
      <c r="AT27" s="414"/>
      <c r="AU27" s="415"/>
      <c r="AV27" s="105"/>
      <c r="AW27" s="104"/>
      <c r="AX27" s="118"/>
      <c r="AY27" s="135"/>
      <c r="AZ27" s="135"/>
      <c r="BA27" s="135"/>
      <c r="BB27" s="135" t="s">
        <v>522</v>
      </c>
      <c r="BC27" s="168"/>
      <c r="BD27" s="135"/>
      <c r="BH27" s="129" t="s">
        <v>556</v>
      </c>
    </row>
    <row r="28" spans="1:63" s="129" customFormat="1" ht="12.75" customHeight="1">
      <c r="A28" s="403"/>
      <c r="B28" s="404"/>
      <c r="C28" s="463" t="s">
        <v>1117</v>
      </c>
      <c r="D28" s="412"/>
      <c r="E28" s="412"/>
      <c r="F28" s="412"/>
      <c r="G28" s="412"/>
      <c r="H28" s="412"/>
      <c r="I28" s="412"/>
      <c r="J28" s="412"/>
      <c r="K28" s="412"/>
      <c r="L28" s="412"/>
      <c r="M28" s="412"/>
      <c r="N28" s="412"/>
      <c r="O28" s="412"/>
      <c r="P28" s="412"/>
      <c r="Q28" s="412"/>
      <c r="R28" s="412"/>
      <c r="S28" s="412"/>
      <c r="T28" s="412"/>
      <c r="U28" s="471"/>
      <c r="V28" s="471"/>
      <c r="W28" s="471"/>
      <c r="X28" s="471"/>
      <c r="Y28" s="471"/>
      <c r="Z28" s="471"/>
      <c r="AA28" s="471"/>
      <c r="AB28" s="471"/>
      <c r="AC28" s="471"/>
      <c r="AD28" s="471"/>
      <c r="AE28" s="472"/>
      <c r="AF28" s="333" t="s">
        <v>327</v>
      </c>
      <c r="AG28" s="334"/>
      <c r="AH28" s="334"/>
      <c r="AI28" s="334"/>
      <c r="AJ28" s="334"/>
      <c r="AK28" s="334"/>
      <c r="AL28" s="334"/>
      <c r="AM28" s="458"/>
      <c r="AN28" s="458"/>
      <c r="AO28" s="458"/>
      <c r="AP28" s="458"/>
      <c r="AQ28" s="458"/>
      <c r="AR28" s="458"/>
      <c r="AS28" s="458"/>
      <c r="AT28" s="458"/>
      <c r="AU28" s="459"/>
      <c r="AV28" s="105"/>
      <c r="AW28" s="104"/>
      <c r="AX28" s="118"/>
      <c r="AY28" s="135"/>
      <c r="AZ28" s="135"/>
      <c r="BA28" s="135"/>
      <c r="BB28" s="135" t="s">
        <v>559</v>
      </c>
      <c r="BC28" s="168"/>
      <c r="BD28" s="135" t="s">
        <v>1</v>
      </c>
      <c r="BH28" s="129" t="s">
        <v>558</v>
      </c>
    </row>
    <row r="29" spans="1:63" s="129" customFormat="1" ht="12.75" hidden="1" customHeight="1">
      <c r="A29" s="403"/>
      <c r="B29" s="404"/>
      <c r="C29" s="115"/>
      <c r="D29" s="116"/>
      <c r="E29" s="116"/>
      <c r="F29" s="116"/>
      <c r="G29" s="116"/>
      <c r="H29" s="116"/>
      <c r="I29" s="116"/>
      <c r="J29" s="116"/>
      <c r="K29" s="116"/>
      <c r="L29" s="116"/>
      <c r="M29" s="116"/>
      <c r="N29" s="116"/>
      <c r="O29" s="116"/>
      <c r="P29" s="116"/>
      <c r="Q29" s="116"/>
      <c r="R29" s="116"/>
      <c r="S29" s="116"/>
      <c r="T29" s="117"/>
      <c r="U29" s="108"/>
      <c r="V29" s="109"/>
      <c r="W29" s="109"/>
      <c r="X29" s="109"/>
      <c r="Y29" s="109"/>
      <c r="Z29" s="109"/>
      <c r="AA29" s="109"/>
      <c r="AB29" s="109"/>
      <c r="AC29" s="109"/>
      <c r="AD29" s="109"/>
      <c r="AE29" s="110"/>
      <c r="AF29" s="115"/>
      <c r="AG29" s="116"/>
      <c r="AH29" s="116"/>
      <c r="AI29" s="116"/>
      <c r="AJ29" s="116"/>
      <c r="AK29" s="116"/>
      <c r="AL29" s="117"/>
      <c r="AM29" s="111"/>
      <c r="AN29" s="112"/>
      <c r="AO29" s="112"/>
      <c r="AP29" s="112"/>
      <c r="AQ29" s="112"/>
      <c r="AR29" s="112"/>
      <c r="AS29" s="112"/>
      <c r="AT29" s="112"/>
      <c r="AU29" s="113"/>
      <c r="AV29" s="105"/>
      <c r="AW29" s="104"/>
      <c r="AX29" s="118"/>
      <c r="AY29" s="135"/>
      <c r="AZ29" s="135" t="s">
        <v>481</v>
      </c>
      <c r="BA29" s="135"/>
      <c r="BB29" s="135" t="s">
        <v>561</v>
      </c>
      <c r="BC29" s="168"/>
      <c r="BD29" s="135" t="s">
        <v>2</v>
      </c>
      <c r="BH29" s="129" t="s">
        <v>560</v>
      </c>
    </row>
    <row r="30" spans="1:63" s="129" customFormat="1" ht="29.25" customHeight="1">
      <c r="A30" s="403"/>
      <c r="B30" s="404"/>
      <c r="C30" s="463" t="s">
        <v>1116</v>
      </c>
      <c r="D30" s="412"/>
      <c r="E30" s="412"/>
      <c r="F30" s="412"/>
      <c r="G30" s="412"/>
      <c r="H30" s="412"/>
      <c r="I30" s="412"/>
      <c r="J30" s="412"/>
      <c r="K30" s="412"/>
      <c r="L30" s="412"/>
      <c r="M30" s="412"/>
      <c r="N30" s="412"/>
      <c r="O30" s="412"/>
      <c r="P30" s="412"/>
      <c r="Q30" s="412"/>
      <c r="R30" s="412"/>
      <c r="S30" s="412"/>
      <c r="T30" s="412"/>
      <c r="U30" s="471"/>
      <c r="V30" s="471"/>
      <c r="W30" s="471"/>
      <c r="X30" s="471"/>
      <c r="Y30" s="471"/>
      <c r="Z30" s="471"/>
      <c r="AA30" s="471"/>
      <c r="AB30" s="471"/>
      <c r="AC30" s="471"/>
      <c r="AD30" s="471"/>
      <c r="AE30" s="472"/>
      <c r="AF30" s="275"/>
      <c r="AG30" s="276"/>
      <c r="AH30" s="276"/>
      <c r="AI30" s="276"/>
      <c r="AJ30" s="276"/>
      <c r="AK30" s="276"/>
      <c r="AL30" s="276"/>
      <c r="AM30" s="276"/>
      <c r="AN30" s="276"/>
      <c r="AO30" s="276"/>
      <c r="AP30" s="276"/>
      <c r="AQ30" s="276"/>
      <c r="AR30" s="276"/>
      <c r="AS30" s="276"/>
      <c r="AT30" s="276"/>
      <c r="AU30" s="277"/>
      <c r="AV30" s="105"/>
      <c r="AW30" s="104"/>
      <c r="AX30" s="118"/>
      <c r="AY30" s="135"/>
      <c r="AZ30" s="135"/>
      <c r="BA30" s="135"/>
      <c r="BB30" s="168"/>
      <c r="BC30" s="168"/>
      <c r="BD30" s="135"/>
      <c r="BH30" s="129" t="s">
        <v>562</v>
      </c>
    </row>
    <row r="31" spans="1:63" s="129" customFormat="1" ht="38.25" customHeight="1">
      <c r="A31" s="403"/>
      <c r="B31" s="404"/>
      <c r="C31" s="463" t="s">
        <v>1119</v>
      </c>
      <c r="D31" s="412"/>
      <c r="E31" s="412"/>
      <c r="F31" s="412"/>
      <c r="G31" s="412"/>
      <c r="H31" s="412"/>
      <c r="I31" s="412"/>
      <c r="J31" s="412"/>
      <c r="K31" s="412"/>
      <c r="L31" s="412"/>
      <c r="M31" s="412"/>
      <c r="N31" s="412"/>
      <c r="O31" s="412"/>
      <c r="P31" s="412"/>
      <c r="Q31" s="412"/>
      <c r="R31" s="412"/>
      <c r="S31" s="412"/>
      <c r="T31" s="412"/>
      <c r="U31" s="471"/>
      <c r="V31" s="471"/>
      <c r="W31" s="471"/>
      <c r="X31" s="471"/>
      <c r="Y31" s="471"/>
      <c r="Z31" s="471"/>
      <c r="AA31" s="471"/>
      <c r="AB31" s="471"/>
      <c r="AC31" s="471"/>
      <c r="AD31" s="471"/>
      <c r="AE31" s="472"/>
      <c r="AF31" s="473" t="s">
        <v>689</v>
      </c>
      <c r="AG31" s="474"/>
      <c r="AH31" s="474"/>
      <c r="AI31" s="474"/>
      <c r="AJ31" s="474"/>
      <c r="AK31" s="474"/>
      <c r="AL31" s="474"/>
      <c r="AM31" s="495"/>
      <c r="AN31" s="495"/>
      <c r="AO31" s="495"/>
      <c r="AP31" s="495"/>
      <c r="AQ31" s="495"/>
      <c r="AR31" s="495"/>
      <c r="AS31" s="495"/>
      <c r="AT31" s="495"/>
      <c r="AU31" s="496"/>
      <c r="AV31" s="105"/>
      <c r="AW31" s="104"/>
      <c r="AX31" s="118"/>
      <c r="AY31" s="135"/>
      <c r="AZ31" s="135"/>
      <c r="BA31" s="135"/>
      <c r="BB31" s="168"/>
      <c r="BC31" s="112" t="s">
        <v>629</v>
      </c>
      <c r="BD31" s="112"/>
      <c r="BE31" s="112"/>
      <c r="BF31" s="112"/>
      <c r="BG31" s="112"/>
      <c r="BH31" s="129" t="s">
        <v>564</v>
      </c>
      <c r="BI31" s="112"/>
      <c r="BJ31" s="112"/>
      <c r="BK31" s="113"/>
    </row>
    <row r="32" spans="1:63" s="129" customFormat="1" ht="12.75" customHeight="1">
      <c r="A32" s="405"/>
      <c r="B32" s="406"/>
      <c r="C32" s="456" t="s">
        <v>563</v>
      </c>
      <c r="D32" s="457"/>
      <c r="E32" s="457"/>
      <c r="F32" s="457"/>
      <c r="G32" s="457"/>
      <c r="H32" s="457"/>
      <c r="I32" s="457"/>
      <c r="J32" s="457"/>
      <c r="K32" s="457"/>
      <c r="L32" s="457"/>
      <c r="M32" s="457"/>
      <c r="N32" s="457"/>
      <c r="O32" s="457"/>
      <c r="P32" s="457"/>
      <c r="Q32" s="457"/>
      <c r="R32" s="457"/>
      <c r="S32" s="457"/>
      <c r="T32" s="457"/>
      <c r="U32" s="416" t="s">
        <v>566</v>
      </c>
      <c r="V32" s="417"/>
      <c r="W32" s="417"/>
      <c r="X32" s="417"/>
      <c r="Y32" s="417"/>
      <c r="Z32" s="417"/>
      <c r="AA32" s="417"/>
      <c r="AB32" s="417"/>
      <c r="AC32" s="417"/>
      <c r="AD32" s="417"/>
      <c r="AE32" s="417"/>
      <c r="AF32" s="276"/>
      <c r="AG32" s="276"/>
      <c r="AH32" s="276"/>
      <c r="AI32" s="276"/>
      <c r="AJ32" s="276"/>
      <c r="AK32" s="276"/>
      <c r="AL32" s="276"/>
      <c r="AM32" s="276"/>
      <c r="AN32" s="276"/>
      <c r="AO32" s="276"/>
      <c r="AP32" s="276"/>
      <c r="AQ32" s="276"/>
      <c r="AR32" s="276"/>
      <c r="AS32" s="276"/>
      <c r="AT32" s="276"/>
      <c r="AU32" s="276"/>
      <c r="AV32" s="88"/>
      <c r="AW32" s="104"/>
      <c r="AX32" s="118"/>
      <c r="AY32" s="135"/>
      <c r="AZ32" s="135" t="s">
        <v>1318</v>
      </c>
      <c r="BA32" s="135"/>
      <c r="BB32" s="168"/>
      <c r="BC32" s="168"/>
      <c r="BD32" s="135"/>
      <c r="BH32" s="129" t="s">
        <v>588</v>
      </c>
    </row>
    <row r="33" spans="1:60" s="129" customFormat="1" ht="12.75" hidden="1" customHeight="1">
      <c r="A33" s="20"/>
      <c r="B33" s="20"/>
      <c r="C33" s="484" t="s">
        <v>968</v>
      </c>
      <c r="D33" s="484"/>
      <c r="E33" s="484"/>
      <c r="F33" s="484"/>
      <c r="G33" s="484"/>
      <c r="H33" s="484"/>
      <c r="I33" s="484"/>
      <c r="J33" s="484"/>
      <c r="K33" s="484"/>
      <c r="L33" s="484"/>
      <c r="M33" s="484"/>
      <c r="N33" s="484"/>
      <c r="O33" s="484"/>
      <c r="P33" s="484"/>
      <c r="Q33" s="484"/>
      <c r="R33" s="484"/>
      <c r="S33" s="484"/>
      <c r="T33" s="484"/>
      <c r="U33" s="484"/>
      <c r="V33" s="484"/>
      <c r="W33" s="484"/>
      <c r="X33" s="484"/>
      <c r="Y33" s="508" t="s">
        <v>968</v>
      </c>
      <c r="Z33" s="508"/>
      <c r="AA33" s="508"/>
      <c r="AB33" s="508"/>
      <c r="AC33" s="508"/>
      <c r="AD33" s="508"/>
      <c r="AE33" s="508"/>
      <c r="AF33" s="508"/>
      <c r="AG33" s="508"/>
      <c r="AH33" s="19"/>
      <c r="AI33" s="19"/>
      <c r="AJ33" s="19"/>
      <c r="AK33" s="19"/>
      <c r="AL33" s="19"/>
      <c r="AM33" s="19"/>
      <c r="AN33" s="19"/>
      <c r="AO33" s="19"/>
      <c r="AP33" s="19"/>
      <c r="AQ33" s="19"/>
      <c r="AR33" s="19"/>
      <c r="AS33" s="19"/>
      <c r="AT33" s="19"/>
      <c r="AU33" s="19"/>
      <c r="AV33" s="19"/>
      <c r="AW33" s="104"/>
      <c r="AX33" s="118"/>
      <c r="AY33" s="135"/>
      <c r="AZ33" s="135" t="s">
        <v>1328</v>
      </c>
      <c r="BA33" s="135" t="s">
        <v>1318</v>
      </c>
      <c r="BB33" s="168"/>
      <c r="BC33" s="168"/>
      <c r="BD33" s="135"/>
      <c r="BH33" s="129" t="s">
        <v>589</v>
      </c>
    </row>
    <row r="34" spans="1:60" s="129" customFormat="1" ht="12.75" hidden="1" customHeight="1">
      <c r="A34" s="20"/>
      <c r="B34" s="20"/>
      <c r="C34" s="460"/>
      <c r="D34" s="460"/>
      <c r="E34" s="460"/>
      <c r="F34" s="460"/>
      <c r="G34" s="460"/>
      <c r="H34" s="460"/>
      <c r="I34" s="460"/>
      <c r="J34" s="460"/>
      <c r="K34" s="460"/>
      <c r="L34" s="460"/>
      <c r="M34" s="460"/>
      <c r="N34" s="460"/>
      <c r="O34" s="460"/>
      <c r="P34" s="460"/>
      <c r="Q34" s="460"/>
      <c r="R34" s="460"/>
      <c r="S34" s="460"/>
      <c r="T34" s="460"/>
      <c r="U34" s="460"/>
      <c r="V34" s="460"/>
      <c r="W34" s="460"/>
      <c r="X34" s="460"/>
      <c r="Y34" s="19" t="s">
        <v>565</v>
      </c>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104"/>
      <c r="AX34" s="118"/>
      <c r="AY34" s="135"/>
      <c r="AZ34" s="135" t="s">
        <v>251</v>
      </c>
      <c r="BA34" s="131" t="s">
        <v>566</v>
      </c>
      <c r="BB34" s="168"/>
      <c r="BC34" s="168"/>
      <c r="BD34" s="135"/>
      <c r="BH34" s="169" t="s">
        <v>842</v>
      </c>
    </row>
    <row r="35" spans="1:60" s="129" customFormat="1" ht="12.75" hidden="1" customHeight="1">
      <c r="A35" s="20"/>
      <c r="B35" s="20"/>
      <c r="C35" s="460"/>
      <c r="D35" s="460"/>
      <c r="E35" s="460"/>
      <c r="F35" s="460"/>
      <c r="G35" s="460"/>
      <c r="H35" s="460"/>
      <c r="I35" s="460"/>
      <c r="J35" s="460"/>
      <c r="K35" s="460"/>
      <c r="L35" s="460"/>
      <c r="M35" s="460"/>
      <c r="N35" s="460"/>
      <c r="O35" s="460"/>
      <c r="P35" s="460"/>
      <c r="Q35" s="460"/>
      <c r="R35" s="460"/>
      <c r="S35" s="460"/>
      <c r="T35" s="460"/>
      <c r="U35" s="460"/>
      <c r="V35" s="460"/>
      <c r="W35" s="460"/>
      <c r="X35" s="460"/>
      <c r="Y35" s="19" t="s">
        <v>327</v>
      </c>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04"/>
      <c r="AX35" s="118"/>
      <c r="AY35" s="135"/>
      <c r="AZ35" s="135" t="s">
        <v>38</v>
      </c>
      <c r="BA35" s="131" t="s">
        <v>567</v>
      </c>
      <c r="BB35" s="168"/>
      <c r="BC35" s="168"/>
      <c r="BD35" s="135"/>
      <c r="BH35" s="169" t="s">
        <v>843</v>
      </c>
    </row>
    <row r="36" spans="1:60" s="129" customFormat="1" ht="12.75" hidden="1" customHeight="1">
      <c r="A36" s="20"/>
      <c r="B36" s="20"/>
      <c r="C36" s="460"/>
      <c r="D36" s="460"/>
      <c r="E36" s="460"/>
      <c r="F36" s="460"/>
      <c r="G36" s="460"/>
      <c r="H36" s="460"/>
      <c r="I36" s="460"/>
      <c r="J36" s="460"/>
      <c r="K36" s="460"/>
      <c r="L36" s="460"/>
      <c r="M36" s="460"/>
      <c r="N36" s="460"/>
      <c r="O36" s="460"/>
      <c r="P36" s="460"/>
      <c r="Q36" s="460"/>
      <c r="R36" s="460"/>
      <c r="S36" s="460"/>
      <c r="T36" s="460"/>
      <c r="U36" s="460"/>
      <c r="V36" s="460"/>
      <c r="W36" s="460"/>
      <c r="X36" s="460"/>
      <c r="Y36" s="460"/>
      <c r="Z36" s="460"/>
      <c r="AA36" s="460"/>
      <c r="AB36" s="460"/>
      <c r="AC36" s="460"/>
      <c r="AD36" s="460"/>
      <c r="AE36" s="460"/>
      <c r="AF36" s="460"/>
      <c r="AG36" s="460"/>
      <c r="AH36" s="460"/>
      <c r="AI36" s="460"/>
      <c r="AJ36" s="460"/>
      <c r="AK36" s="460"/>
      <c r="AL36" s="460"/>
      <c r="AM36" s="460"/>
      <c r="AN36" s="460"/>
      <c r="AO36" s="460"/>
      <c r="AP36" s="460"/>
      <c r="AQ36" s="460"/>
      <c r="AR36" s="460"/>
      <c r="AS36" s="460"/>
      <c r="AT36" s="460"/>
      <c r="AU36" s="460"/>
      <c r="AV36" s="20"/>
      <c r="AW36" s="104"/>
      <c r="AX36" s="118"/>
      <c r="AY36" s="135"/>
      <c r="AZ36" s="135" t="s">
        <v>39</v>
      </c>
      <c r="BA36" s="131" t="s">
        <v>1118</v>
      </c>
      <c r="BB36" s="135"/>
      <c r="BC36" s="135"/>
      <c r="BD36" s="135"/>
      <c r="BH36" s="169" t="s">
        <v>844</v>
      </c>
    </row>
    <row r="37" spans="1:60" s="129" customFormat="1" ht="12.75" hidden="1" customHeight="1">
      <c r="A37" s="20"/>
      <c r="B37" s="20"/>
      <c r="C37" s="460"/>
      <c r="D37" s="460"/>
      <c r="E37" s="460"/>
      <c r="F37" s="460"/>
      <c r="G37" s="460"/>
      <c r="H37" s="460"/>
      <c r="I37" s="460"/>
      <c r="J37" s="460"/>
      <c r="K37" s="460"/>
      <c r="L37" s="460"/>
      <c r="M37" s="460"/>
      <c r="N37" s="460"/>
      <c r="O37" s="460"/>
      <c r="P37" s="460"/>
      <c r="Q37" s="460"/>
      <c r="R37" s="460"/>
      <c r="S37" s="460"/>
      <c r="T37" s="460"/>
      <c r="U37" s="460"/>
      <c r="V37" s="460"/>
      <c r="W37" s="460"/>
      <c r="X37" s="460"/>
      <c r="Y37" s="460"/>
      <c r="Z37" s="460"/>
      <c r="AA37" s="460"/>
      <c r="AB37" s="460"/>
      <c r="AC37" s="460"/>
      <c r="AD37" s="460"/>
      <c r="AE37" s="460"/>
      <c r="AF37" s="460"/>
      <c r="AG37" s="460"/>
      <c r="AH37" s="460"/>
      <c r="AI37" s="460"/>
      <c r="AJ37" s="460"/>
      <c r="AK37" s="460"/>
      <c r="AL37" s="460"/>
      <c r="AM37" s="460"/>
      <c r="AN37" s="460"/>
      <c r="AO37" s="460"/>
      <c r="AP37" s="460"/>
      <c r="AQ37" s="460"/>
      <c r="AR37" s="460"/>
      <c r="AS37" s="460"/>
      <c r="AT37" s="460"/>
      <c r="AU37" s="460"/>
      <c r="AV37" s="20"/>
      <c r="AW37" s="104"/>
      <c r="AX37" s="118"/>
      <c r="AY37" s="135"/>
      <c r="AZ37" s="135" t="s">
        <v>1072</v>
      </c>
      <c r="BA37" s="135"/>
      <c r="BB37" s="135"/>
      <c r="BC37" s="135"/>
      <c r="BD37" s="135"/>
      <c r="BH37" s="129" t="s">
        <v>590</v>
      </c>
    </row>
    <row r="38" spans="1:60" s="129" customFormat="1" ht="12.75" hidden="1" customHeight="1">
      <c r="A38" s="20"/>
      <c r="B38" s="20"/>
      <c r="C38" s="460"/>
      <c r="D38" s="460"/>
      <c r="E38" s="460"/>
      <c r="F38" s="460"/>
      <c r="G38" s="460"/>
      <c r="H38" s="460"/>
      <c r="I38" s="460"/>
      <c r="J38" s="460"/>
      <c r="K38" s="460"/>
      <c r="L38" s="460"/>
      <c r="M38" s="460"/>
      <c r="N38" s="460"/>
      <c r="O38" s="460"/>
      <c r="P38" s="460"/>
      <c r="Q38" s="460"/>
      <c r="R38" s="460"/>
      <c r="S38" s="460"/>
      <c r="T38" s="460"/>
      <c r="U38" s="460"/>
      <c r="V38" s="460"/>
      <c r="W38" s="460"/>
      <c r="X38" s="460"/>
      <c r="Y38" s="509" t="s">
        <v>568</v>
      </c>
      <c r="Z38" s="509"/>
      <c r="AA38" s="509"/>
      <c r="AB38" s="509"/>
      <c r="AC38" s="509"/>
      <c r="AD38" s="509"/>
      <c r="AE38" s="509"/>
      <c r="AF38" s="509"/>
      <c r="AG38" s="509"/>
      <c r="AH38" s="509"/>
      <c r="AI38" s="509"/>
      <c r="AJ38" s="509"/>
      <c r="AK38" s="509"/>
      <c r="AL38" s="509"/>
      <c r="AM38" s="509"/>
      <c r="AN38" s="509"/>
      <c r="AO38" s="460"/>
      <c r="AP38" s="460"/>
      <c r="AQ38" s="460"/>
      <c r="AR38" s="460"/>
      <c r="AS38" s="460"/>
      <c r="AT38" s="460"/>
      <c r="AU38" s="460"/>
      <c r="AV38" s="20"/>
      <c r="AW38" s="104"/>
      <c r="AX38" s="118"/>
      <c r="AY38" s="135"/>
      <c r="AZ38" s="135" t="s">
        <v>1071</v>
      </c>
      <c r="BA38" s="135"/>
      <c r="BB38" s="135"/>
      <c r="BC38" s="135"/>
      <c r="BD38" s="135"/>
    </row>
    <row r="39" spans="1:60" s="129" customFormat="1" ht="12.75" hidden="1" customHeight="1">
      <c r="A39" s="20"/>
      <c r="B39" s="20"/>
      <c r="C39" s="460"/>
      <c r="D39" s="460"/>
      <c r="E39" s="460"/>
      <c r="F39" s="460"/>
      <c r="G39" s="460"/>
      <c r="H39" s="460"/>
      <c r="I39" s="460"/>
      <c r="J39" s="460"/>
      <c r="K39" s="460"/>
      <c r="L39" s="460"/>
      <c r="M39" s="460"/>
      <c r="N39" s="460"/>
      <c r="O39" s="460"/>
      <c r="P39" s="460"/>
      <c r="Q39" s="460"/>
      <c r="R39" s="460"/>
      <c r="S39" s="460"/>
      <c r="T39" s="460"/>
      <c r="U39" s="460"/>
      <c r="V39" s="460"/>
      <c r="W39" s="460"/>
      <c r="X39" s="460"/>
      <c r="Y39" s="460"/>
      <c r="Z39" s="460"/>
      <c r="AA39" s="460"/>
      <c r="AB39" s="460"/>
      <c r="AC39" s="460"/>
      <c r="AD39" s="460"/>
      <c r="AE39" s="460"/>
      <c r="AF39" s="460"/>
      <c r="AG39" s="460"/>
      <c r="AH39" s="460"/>
      <c r="AI39" s="460"/>
      <c r="AJ39" s="460"/>
      <c r="AK39" s="460"/>
      <c r="AL39" s="460"/>
      <c r="AM39" s="460"/>
      <c r="AN39" s="460"/>
      <c r="AO39" s="460"/>
      <c r="AP39" s="460"/>
      <c r="AQ39" s="460"/>
      <c r="AR39" s="460"/>
      <c r="AS39" s="460"/>
      <c r="AT39" s="460"/>
      <c r="AU39" s="460"/>
      <c r="AV39" s="20"/>
      <c r="AW39" s="104"/>
      <c r="AX39" s="118"/>
      <c r="AY39" s="135"/>
      <c r="AZ39" s="135" t="s">
        <v>1341</v>
      </c>
      <c r="BA39" s="135"/>
      <c r="BB39" s="135"/>
      <c r="BC39" s="135"/>
      <c r="BD39" s="135"/>
    </row>
    <row r="40" spans="1:60" s="129" customFormat="1" ht="27.75" customHeight="1">
      <c r="A40" s="461"/>
      <c r="B40" s="462"/>
      <c r="C40" s="278">
        <v>1</v>
      </c>
      <c r="D40" s="449" t="s">
        <v>349</v>
      </c>
      <c r="E40" s="450"/>
      <c r="F40" s="450"/>
      <c r="G40" s="450"/>
      <c r="H40" s="450"/>
      <c r="I40" s="450"/>
      <c r="J40" s="450"/>
      <c r="K40" s="450"/>
      <c r="L40" s="450"/>
      <c r="M40" s="450"/>
      <c r="N40" s="450"/>
      <c r="O40" s="450"/>
      <c r="P40" s="450"/>
      <c r="Q40" s="450"/>
      <c r="R40" s="450"/>
      <c r="S40" s="450"/>
      <c r="T40" s="450"/>
      <c r="U40" s="450"/>
      <c r="V40" s="450"/>
      <c r="W40" s="450"/>
      <c r="X40" s="450"/>
      <c r="Y40" s="450"/>
      <c r="Z40" s="450"/>
      <c r="AA40" s="450"/>
      <c r="AB40" s="450"/>
      <c r="AC40" s="450"/>
      <c r="AD40" s="450"/>
      <c r="AE40" s="450"/>
      <c r="AF40" s="450"/>
      <c r="AG40" s="450"/>
      <c r="AH40" s="450"/>
      <c r="AI40" s="450"/>
      <c r="AJ40" s="450"/>
      <c r="AK40" s="451"/>
      <c r="AL40" s="279">
        <v>1</v>
      </c>
      <c r="AM40" s="322">
        <f>'NOB BP'!H18</f>
        <v>268884</v>
      </c>
      <c r="AN40" s="322"/>
      <c r="AO40" s="322"/>
      <c r="AP40" s="322"/>
      <c r="AQ40" s="322"/>
      <c r="AR40" s="322"/>
      <c r="AS40" s="322"/>
      <c r="AT40" s="322"/>
      <c r="AU40" s="322"/>
      <c r="AV40" s="20"/>
      <c r="AW40" s="20"/>
      <c r="AX40" s="118"/>
      <c r="AY40" s="135"/>
      <c r="AZ40" s="135" t="s">
        <v>1340</v>
      </c>
      <c r="BA40" s="135"/>
      <c r="BB40" s="135"/>
      <c r="BC40" s="135"/>
      <c r="BD40" s="135"/>
    </row>
    <row r="41" spans="1:60" s="129" customFormat="1" ht="12.75" customHeight="1">
      <c r="A41" s="464" t="s">
        <v>962</v>
      </c>
      <c r="B41" s="465"/>
      <c r="C41" s="278">
        <v>2</v>
      </c>
      <c r="D41" s="448" t="s">
        <v>894</v>
      </c>
      <c r="E41" s="448"/>
      <c r="F41" s="448"/>
      <c r="G41" s="448"/>
      <c r="H41" s="448"/>
      <c r="I41" s="448"/>
      <c r="J41" s="448"/>
      <c r="K41" s="448"/>
      <c r="L41" s="448"/>
      <c r="M41" s="448"/>
      <c r="N41" s="448"/>
      <c r="O41" s="448"/>
      <c r="P41" s="448"/>
      <c r="Q41" s="448"/>
      <c r="R41" s="448"/>
      <c r="S41" s="448"/>
      <c r="T41" s="448"/>
      <c r="U41" s="448"/>
      <c r="V41" s="448"/>
      <c r="W41" s="448"/>
      <c r="X41" s="448"/>
      <c r="Y41" s="448"/>
      <c r="Z41" s="448"/>
      <c r="AA41" s="448"/>
      <c r="AB41" s="448"/>
      <c r="AC41" s="448"/>
      <c r="AD41" s="448"/>
      <c r="AE41" s="448"/>
      <c r="AF41" s="448"/>
      <c r="AG41" s="448"/>
      <c r="AH41" s="448"/>
      <c r="AI41" s="448"/>
      <c r="AJ41" s="448"/>
      <c r="AK41" s="448"/>
      <c r="AL41" s="279">
        <v>2</v>
      </c>
      <c r="AM41" s="445">
        <v>0</v>
      </c>
      <c r="AN41" s="446"/>
      <c r="AO41" s="446"/>
      <c r="AP41" s="446"/>
      <c r="AQ41" s="446"/>
      <c r="AR41" s="446"/>
      <c r="AS41" s="446"/>
      <c r="AT41" s="446"/>
      <c r="AU41" s="447"/>
      <c r="AV41" s="20"/>
      <c r="AW41" s="20"/>
      <c r="AX41" s="118"/>
      <c r="AY41" s="135"/>
      <c r="BA41" s="135"/>
      <c r="BB41" s="135"/>
      <c r="BC41" s="135"/>
      <c r="BD41" s="135"/>
    </row>
    <row r="42" spans="1:60" s="129" customFormat="1" ht="28.5" customHeight="1">
      <c r="A42" s="464"/>
      <c r="B42" s="465"/>
      <c r="C42" s="90">
        <v>3</v>
      </c>
      <c r="D42" s="419" t="s">
        <v>895</v>
      </c>
      <c r="E42" s="420"/>
      <c r="F42" s="420"/>
      <c r="G42" s="420"/>
      <c r="H42" s="420"/>
      <c r="I42" s="420"/>
      <c r="J42" s="420"/>
      <c r="K42" s="420"/>
      <c r="L42" s="420"/>
      <c r="M42" s="420"/>
      <c r="N42" s="420"/>
      <c r="O42" s="420"/>
      <c r="P42" s="420"/>
      <c r="Q42" s="420"/>
      <c r="R42" s="420"/>
      <c r="S42" s="420"/>
      <c r="T42" s="420"/>
      <c r="U42" s="420"/>
      <c r="V42" s="420"/>
      <c r="W42" s="420"/>
      <c r="X42" s="420"/>
      <c r="Y42" s="420"/>
      <c r="Z42" s="420"/>
      <c r="AA42" s="420"/>
      <c r="AB42" s="420"/>
      <c r="AC42" s="420"/>
      <c r="AD42" s="420"/>
      <c r="AE42" s="420"/>
      <c r="AF42" s="418" t="s">
        <v>1318</v>
      </c>
      <c r="AG42" s="418"/>
      <c r="AH42" s="418"/>
      <c r="AI42" s="418"/>
      <c r="AJ42" s="418"/>
      <c r="AK42" s="418"/>
      <c r="AL42" s="91">
        <v>3</v>
      </c>
      <c r="AM42" s="359">
        <v>0</v>
      </c>
      <c r="AN42" s="360"/>
      <c r="AO42" s="360"/>
      <c r="AP42" s="360"/>
      <c r="AQ42" s="360"/>
      <c r="AR42" s="360"/>
      <c r="AS42" s="360"/>
      <c r="AT42" s="360"/>
      <c r="AU42" s="361"/>
      <c r="AV42" s="20"/>
      <c r="AW42" s="20"/>
      <c r="AX42" s="118"/>
      <c r="AY42" s="135"/>
      <c r="BA42" s="135"/>
      <c r="BB42" s="135"/>
      <c r="BC42" s="135"/>
      <c r="BD42" s="135"/>
    </row>
    <row r="43" spans="1:60" s="129" customFormat="1" ht="25.5" customHeight="1">
      <c r="A43" s="464"/>
      <c r="B43" s="465"/>
      <c r="C43" s="90">
        <v>4</v>
      </c>
      <c r="D43" s="398" t="s">
        <v>896</v>
      </c>
      <c r="E43" s="399"/>
      <c r="F43" s="399"/>
      <c r="G43" s="399"/>
      <c r="H43" s="399"/>
      <c r="I43" s="399"/>
      <c r="J43" s="399"/>
      <c r="K43" s="399"/>
      <c r="L43" s="399"/>
      <c r="M43" s="399"/>
      <c r="N43" s="399"/>
      <c r="O43" s="399"/>
      <c r="P43" s="399"/>
      <c r="Q43" s="399"/>
      <c r="R43" s="399"/>
      <c r="S43" s="399"/>
      <c r="T43" s="399"/>
      <c r="U43" s="399"/>
      <c r="V43" s="399"/>
      <c r="W43" s="399"/>
      <c r="X43" s="399"/>
      <c r="Y43" s="399"/>
      <c r="Z43" s="399"/>
      <c r="AA43" s="399"/>
      <c r="AB43" s="399"/>
      <c r="AC43" s="399"/>
      <c r="AD43" s="399"/>
      <c r="AE43" s="399"/>
      <c r="AF43" s="399"/>
      <c r="AG43" s="399"/>
      <c r="AH43" s="399"/>
      <c r="AI43" s="399"/>
      <c r="AJ43" s="399"/>
      <c r="AK43" s="400"/>
      <c r="AL43" s="91">
        <v>4</v>
      </c>
      <c r="AM43" s="359">
        <v>15987</v>
      </c>
      <c r="AN43" s="360"/>
      <c r="AO43" s="360"/>
      <c r="AP43" s="360"/>
      <c r="AQ43" s="360"/>
      <c r="AR43" s="360"/>
      <c r="AS43" s="360"/>
      <c r="AT43" s="360"/>
      <c r="AU43" s="361"/>
      <c r="AV43" s="20"/>
      <c r="AW43" s="20"/>
      <c r="AX43" s="118"/>
      <c r="AY43" s="135"/>
      <c r="BA43" s="135"/>
      <c r="BB43" s="135"/>
      <c r="BC43" s="135"/>
      <c r="BD43" s="135"/>
    </row>
    <row r="44" spans="1:60" s="129" customFormat="1" ht="12.75" customHeight="1">
      <c r="A44" s="464"/>
      <c r="B44" s="465"/>
      <c r="C44" s="90">
        <v>5</v>
      </c>
      <c r="D44" s="362" t="s">
        <v>1111</v>
      </c>
      <c r="E44" s="363"/>
      <c r="F44" s="363"/>
      <c r="G44" s="363"/>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4"/>
      <c r="AL44" s="93">
        <v>5</v>
      </c>
      <c r="AM44" s="355">
        <f>IncD.IncomeFromBP+IncD.IncomeFromOS+IncD.IncomeFromHP+IncD.IncomeFromSal</f>
        <v>284871</v>
      </c>
      <c r="AN44" s="356"/>
      <c r="AO44" s="356"/>
      <c r="AP44" s="356"/>
      <c r="AQ44" s="356"/>
      <c r="AR44" s="356"/>
      <c r="AS44" s="356"/>
      <c r="AT44" s="356"/>
      <c r="AU44" s="357"/>
      <c r="AV44" s="20"/>
      <c r="AW44" s="20"/>
      <c r="AX44" s="118"/>
      <c r="AY44" s="135"/>
      <c r="BA44" s="135"/>
      <c r="BB44" s="135"/>
      <c r="BC44" s="135"/>
      <c r="BD44" s="135"/>
    </row>
    <row r="45" spans="1:60" s="129" customFormat="1" ht="12.75" customHeight="1">
      <c r="A45" s="464"/>
      <c r="B45" s="465"/>
      <c r="C45" s="90">
        <v>6</v>
      </c>
      <c r="D45" s="354" t="s">
        <v>887</v>
      </c>
      <c r="E45" s="349"/>
      <c r="F45" s="349"/>
      <c r="G45" s="349"/>
      <c r="H45" s="349"/>
      <c r="I45" s="349"/>
      <c r="J45" s="349"/>
      <c r="K45" s="349"/>
      <c r="L45" s="349"/>
      <c r="M45" s="349"/>
      <c r="N45" s="349"/>
      <c r="O45" s="349"/>
      <c r="P45" s="349"/>
      <c r="Q45" s="349"/>
      <c r="R45" s="349"/>
      <c r="S45" s="349"/>
      <c r="T45" s="349"/>
      <c r="U45" s="349"/>
      <c r="V45" s="349"/>
      <c r="W45" s="349"/>
      <c r="X45" s="349"/>
      <c r="Y45" s="349"/>
      <c r="Z45" s="349"/>
      <c r="AA45" s="349"/>
      <c r="AB45" s="349"/>
      <c r="AC45" s="349"/>
      <c r="AD45" s="349"/>
      <c r="AE45" s="349"/>
      <c r="AF45" s="349"/>
      <c r="AG45" s="349"/>
      <c r="AH45" s="349"/>
      <c r="AI45" s="349"/>
      <c r="AJ45" s="349"/>
      <c r="AK45" s="350"/>
      <c r="AL45" s="469" t="s">
        <v>1060</v>
      </c>
      <c r="AM45" s="469"/>
      <c r="AN45" s="469"/>
      <c r="AO45" s="469"/>
      <c r="AP45" s="469"/>
      <c r="AQ45" s="469"/>
      <c r="AR45" s="469"/>
      <c r="AS45" s="469"/>
      <c r="AT45" s="469"/>
      <c r="AU45" s="469"/>
      <c r="AV45" s="20"/>
      <c r="AW45" s="20"/>
      <c r="AX45" s="118"/>
      <c r="AY45" s="135"/>
      <c r="AZ45" s="135"/>
      <c r="BA45" s="135"/>
      <c r="BB45" s="135"/>
      <c r="BC45" s="135"/>
      <c r="BD45" s="135"/>
    </row>
    <row r="46" spans="1:60" s="129" customFormat="1" ht="12.75" customHeight="1">
      <c r="A46" s="464"/>
      <c r="B46" s="465"/>
      <c r="C46" s="92"/>
      <c r="D46" s="335" t="s">
        <v>958</v>
      </c>
      <c r="E46" s="335"/>
      <c r="F46" s="395" t="s">
        <v>877</v>
      </c>
      <c r="G46" s="395"/>
      <c r="H46" s="395"/>
      <c r="I46" s="395"/>
      <c r="J46" s="395"/>
      <c r="K46" s="395"/>
      <c r="L46" s="395"/>
      <c r="M46" s="395"/>
      <c r="N46" s="395"/>
      <c r="O46" s="395"/>
      <c r="P46" s="395"/>
      <c r="Q46" s="395"/>
      <c r="R46" s="395"/>
      <c r="S46" s="395"/>
      <c r="T46" s="395"/>
      <c r="U46" s="395"/>
      <c r="V46" s="395"/>
      <c r="W46" s="326" t="s">
        <v>350</v>
      </c>
      <c r="X46" s="326"/>
      <c r="Y46" s="326"/>
      <c r="Z46" s="359">
        <v>26088</v>
      </c>
      <c r="AA46" s="360"/>
      <c r="AB46" s="360"/>
      <c r="AC46" s="360"/>
      <c r="AD46" s="360"/>
      <c r="AE46" s="360"/>
      <c r="AF46" s="360"/>
      <c r="AG46" s="360"/>
      <c r="AH46" s="360"/>
      <c r="AI46" s="360"/>
      <c r="AJ46" s="360"/>
      <c r="AK46" s="361"/>
      <c r="AL46" s="355">
        <f>MIN(MIN(VALUE(IncD.Section80C),100000),w_1)</f>
        <v>26088</v>
      </c>
      <c r="AM46" s="356"/>
      <c r="AN46" s="356"/>
      <c r="AO46" s="356"/>
      <c r="AP46" s="356"/>
      <c r="AQ46" s="356"/>
      <c r="AR46" s="356"/>
      <c r="AS46" s="356"/>
      <c r="AT46" s="357"/>
      <c r="AU46" s="232"/>
      <c r="AV46" s="20"/>
      <c r="AW46" s="20"/>
      <c r="AX46" s="118"/>
      <c r="AY46" s="135"/>
      <c r="AZ46" s="135"/>
      <c r="BA46" s="135"/>
      <c r="BB46" s="135"/>
      <c r="BC46" s="135"/>
      <c r="BD46" s="135"/>
    </row>
    <row r="47" spans="1:60" s="129" customFormat="1" ht="12.75" customHeight="1">
      <c r="A47" s="464"/>
      <c r="B47" s="465"/>
      <c r="C47" s="92"/>
      <c r="D47" s="335" t="s">
        <v>959</v>
      </c>
      <c r="E47" s="335"/>
      <c r="F47" s="354" t="s">
        <v>878</v>
      </c>
      <c r="G47" s="349"/>
      <c r="H47" s="349"/>
      <c r="I47" s="349"/>
      <c r="J47" s="349"/>
      <c r="K47" s="349"/>
      <c r="L47" s="349"/>
      <c r="M47" s="349"/>
      <c r="N47" s="349"/>
      <c r="O47" s="349"/>
      <c r="P47" s="349"/>
      <c r="Q47" s="349"/>
      <c r="R47" s="349"/>
      <c r="S47" s="349"/>
      <c r="T47" s="349"/>
      <c r="U47" s="349"/>
      <c r="V47" s="349"/>
      <c r="W47" s="326" t="s">
        <v>351</v>
      </c>
      <c r="X47" s="326"/>
      <c r="Y47" s="326"/>
      <c r="Z47" s="327">
        <v>0</v>
      </c>
      <c r="AA47" s="328"/>
      <c r="AB47" s="328"/>
      <c r="AC47" s="328"/>
      <c r="AD47" s="328"/>
      <c r="AE47" s="328"/>
      <c r="AF47" s="328"/>
      <c r="AG47" s="328"/>
      <c r="AH47" s="328"/>
      <c r="AI47" s="328"/>
      <c r="AJ47" s="328"/>
      <c r="AK47" s="329"/>
      <c r="AL47" s="322">
        <f>IF(MID(sheet1.Status,1,1)="H",0,MIN(MIN(VALUE(IncD.Section80CCC), 100000,100000 - IncD.Section80C_Calc),w_1))</f>
        <v>0</v>
      </c>
      <c r="AM47" s="322"/>
      <c r="AN47" s="322"/>
      <c r="AO47" s="322"/>
      <c r="AP47" s="322"/>
      <c r="AQ47" s="322"/>
      <c r="AR47" s="322"/>
      <c r="AS47" s="322"/>
      <c r="AT47" s="322"/>
      <c r="AU47" s="232"/>
      <c r="AV47" s="20"/>
      <c r="AW47" s="20"/>
      <c r="AX47" s="118"/>
      <c r="AY47" s="135"/>
      <c r="AZ47" s="135"/>
      <c r="BA47" s="135"/>
      <c r="BB47" s="135"/>
      <c r="BC47" s="135"/>
      <c r="BD47" s="135"/>
    </row>
    <row r="48" spans="1:60" s="129" customFormat="1" ht="12.75" customHeight="1">
      <c r="A48" s="464"/>
      <c r="B48" s="465"/>
      <c r="C48" s="92"/>
      <c r="D48" s="335" t="s">
        <v>174</v>
      </c>
      <c r="E48" s="335"/>
      <c r="F48" s="398" t="s">
        <v>172</v>
      </c>
      <c r="G48" s="399"/>
      <c r="H48" s="399"/>
      <c r="I48" s="399"/>
      <c r="J48" s="399"/>
      <c r="K48" s="399"/>
      <c r="L48" s="399"/>
      <c r="M48" s="399"/>
      <c r="N48" s="399"/>
      <c r="O48" s="399"/>
      <c r="P48" s="399"/>
      <c r="Q48" s="399"/>
      <c r="R48" s="399"/>
      <c r="S48" s="399"/>
      <c r="T48" s="399"/>
      <c r="U48" s="399"/>
      <c r="V48" s="400"/>
      <c r="W48" s="326" t="s">
        <v>352</v>
      </c>
      <c r="X48" s="326"/>
      <c r="Y48" s="326"/>
      <c r="Z48" s="327">
        <v>0</v>
      </c>
      <c r="AA48" s="328"/>
      <c r="AB48" s="328"/>
      <c r="AC48" s="328"/>
      <c r="AD48" s="328"/>
      <c r="AE48" s="328"/>
      <c r="AF48" s="328"/>
      <c r="AG48" s="328"/>
      <c r="AH48" s="328"/>
      <c r="AI48" s="328"/>
      <c r="AJ48" s="328"/>
      <c r="AK48" s="329"/>
      <c r="AL48" s="322">
        <f>IF(MID(sheet1.Status,1,1)="H",0,MAX(0,MIN(MIN(VALUE(IncD.Section80CCD_SE), ROUND(0.1*IF(VALUE(IncD.IncomeFromSal)&gt;0,VALUE(IncD.IncomeFromSal),VALUE(IncD.GrossTotIncome)),0), 100000 - IncD.Section80C_Calc - IncD.Section80CCC_Calc ),w_1)))</f>
        <v>0</v>
      </c>
      <c r="AM48" s="322"/>
      <c r="AN48" s="322"/>
      <c r="AO48" s="322"/>
      <c r="AP48" s="322"/>
      <c r="AQ48" s="322"/>
      <c r="AR48" s="322"/>
      <c r="AS48" s="322"/>
      <c r="AT48" s="322"/>
      <c r="AU48" s="232"/>
      <c r="AV48" s="20"/>
      <c r="AW48" s="20"/>
      <c r="AX48" s="118"/>
      <c r="AY48" s="135"/>
      <c r="AZ48" s="135"/>
      <c r="BA48" s="135"/>
      <c r="BB48" s="135"/>
      <c r="BC48" s="135"/>
      <c r="BD48" s="135"/>
    </row>
    <row r="49" spans="1:56" s="129" customFormat="1" ht="26.25" customHeight="1">
      <c r="A49" s="464"/>
      <c r="B49" s="465"/>
      <c r="C49" s="92"/>
      <c r="D49" s="335" t="s">
        <v>173</v>
      </c>
      <c r="E49" s="335"/>
      <c r="F49" s="354" t="s">
        <v>171</v>
      </c>
      <c r="G49" s="349"/>
      <c r="H49" s="349"/>
      <c r="I49" s="349"/>
      <c r="J49" s="349"/>
      <c r="K49" s="349"/>
      <c r="L49" s="349"/>
      <c r="M49" s="349"/>
      <c r="N49" s="349"/>
      <c r="O49" s="349"/>
      <c r="P49" s="349"/>
      <c r="Q49" s="349"/>
      <c r="R49" s="349"/>
      <c r="S49" s="349"/>
      <c r="T49" s="349"/>
      <c r="U49" s="349"/>
      <c r="V49" s="349"/>
      <c r="W49" s="326" t="s">
        <v>353</v>
      </c>
      <c r="X49" s="326"/>
      <c r="Y49" s="326"/>
      <c r="Z49" s="327">
        <v>0</v>
      </c>
      <c r="AA49" s="328"/>
      <c r="AB49" s="328"/>
      <c r="AC49" s="328"/>
      <c r="AD49" s="328"/>
      <c r="AE49" s="328"/>
      <c r="AF49" s="328"/>
      <c r="AG49" s="328"/>
      <c r="AH49" s="328"/>
      <c r="AI49" s="328"/>
      <c r="AJ49" s="328"/>
      <c r="AK49" s="329"/>
      <c r="AL49" s="322">
        <f>IF(MID(sheet1.Status,1,1)="H",0,MIN(MIN(VALUE(IncD.Section80CCD), ROUND(0.1*VALUE(IncD.IncomeFromSal),0)),w_1))</f>
        <v>0</v>
      </c>
      <c r="AM49" s="322"/>
      <c r="AN49" s="322"/>
      <c r="AO49" s="322"/>
      <c r="AP49" s="322"/>
      <c r="AQ49" s="322"/>
      <c r="AR49" s="322"/>
      <c r="AS49" s="322"/>
      <c r="AT49" s="322"/>
      <c r="AU49" s="232"/>
      <c r="AV49" s="20"/>
      <c r="AW49" s="20"/>
      <c r="AX49" s="118"/>
      <c r="AY49" s="135"/>
      <c r="AZ49" s="135"/>
      <c r="BA49" s="135"/>
      <c r="BB49" s="135"/>
      <c r="BC49" s="135"/>
      <c r="BD49" s="135"/>
    </row>
    <row r="50" spans="1:56" s="129" customFormat="1" ht="12.75" hidden="1" customHeight="1">
      <c r="A50" s="464"/>
      <c r="B50" s="465"/>
      <c r="C50" s="92"/>
      <c r="D50" s="485" t="s">
        <v>314</v>
      </c>
      <c r="E50" s="373"/>
      <c r="F50" s="354" t="s">
        <v>898</v>
      </c>
      <c r="G50" s="349"/>
      <c r="H50" s="349"/>
      <c r="I50" s="349"/>
      <c r="J50" s="349"/>
      <c r="K50" s="349"/>
      <c r="L50" s="349"/>
      <c r="M50" s="349"/>
      <c r="N50" s="349"/>
      <c r="O50" s="349"/>
      <c r="P50" s="349"/>
      <c r="Q50" s="349"/>
      <c r="R50" s="349"/>
      <c r="S50" s="349"/>
      <c r="T50" s="349"/>
      <c r="U50" s="349"/>
      <c r="V50" s="349"/>
      <c r="W50" s="407" t="s">
        <v>354</v>
      </c>
      <c r="X50" s="408"/>
      <c r="Y50" s="409"/>
      <c r="Z50" s="486">
        <v>0</v>
      </c>
      <c r="AA50" s="487"/>
      <c r="AB50" s="487"/>
      <c r="AC50" s="487"/>
      <c r="AD50" s="487"/>
      <c r="AE50" s="487"/>
      <c r="AF50" s="487"/>
      <c r="AG50" s="487"/>
      <c r="AH50" s="487"/>
      <c r="AI50" s="487"/>
      <c r="AJ50" s="487"/>
      <c r="AK50" s="488"/>
      <c r="AL50" s="322">
        <f>MIN(MIN(20000,VALUE(IncD.Section80CCF)),w_1)</f>
        <v>0</v>
      </c>
      <c r="AM50" s="322"/>
      <c r="AN50" s="322"/>
      <c r="AO50" s="322"/>
      <c r="AP50" s="322"/>
      <c r="AQ50" s="322"/>
      <c r="AR50" s="322"/>
      <c r="AS50" s="322"/>
      <c r="AT50" s="322"/>
      <c r="AU50" s="232"/>
      <c r="AV50" s="20"/>
      <c r="AW50" s="20"/>
      <c r="AX50" s="118"/>
      <c r="AY50" s="135"/>
      <c r="AZ50" s="135"/>
      <c r="BA50" s="135"/>
      <c r="BB50" s="135"/>
      <c r="BC50" s="135"/>
      <c r="BD50" s="135"/>
    </row>
    <row r="51" spans="1:56" s="129" customFormat="1" ht="12.75" customHeight="1">
      <c r="A51" s="464"/>
      <c r="B51" s="465"/>
      <c r="C51" s="92"/>
      <c r="D51" s="335" t="s">
        <v>314</v>
      </c>
      <c r="E51" s="335"/>
      <c r="F51" s="354" t="s">
        <v>1320</v>
      </c>
      <c r="G51" s="349"/>
      <c r="H51" s="349"/>
      <c r="I51" s="349"/>
      <c r="J51" s="349"/>
      <c r="K51" s="349"/>
      <c r="L51" s="349"/>
      <c r="M51" s="349"/>
      <c r="N51" s="349"/>
      <c r="O51" s="349"/>
      <c r="P51" s="349"/>
      <c r="Q51" s="349"/>
      <c r="R51" s="349"/>
      <c r="S51" s="349"/>
      <c r="T51" s="349"/>
      <c r="U51" s="349"/>
      <c r="V51" s="349"/>
      <c r="W51" s="326" t="s">
        <v>354</v>
      </c>
      <c r="X51" s="326"/>
      <c r="Y51" s="326"/>
      <c r="Z51" s="327">
        <v>0</v>
      </c>
      <c r="AA51" s="328"/>
      <c r="AB51" s="328"/>
      <c r="AC51" s="328"/>
      <c r="AD51" s="328"/>
      <c r="AE51" s="328"/>
      <c r="AF51" s="328"/>
      <c r="AG51" s="328"/>
      <c r="AH51" s="328"/>
      <c r="AI51" s="328"/>
      <c r="AJ51" s="328"/>
      <c r="AK51" s="329"/>
      <c r="AL51" s="322">
        <f>IF(MID(sheet1.Status,1,1)="H",0,MIN(IF(MID(sheet1.ResidentialStatus1,1,3)="NRI",0,
IF(w_1 &gt; 1000000,0,MIN(VALUE(IncD.Section80CCG),25000))),w_1))</f>
        <v>0</v>
      </c>
      <c r="AM51" s="322"/>
      <c r="AN51" s="322"/>
      <c r="AO51" s="322"/>
      <c r="AP51" s="322"/>
      <c r="AQ51" s="322"/>
      <c r="AR51" s="322"/>
      <c r="AS51" s="322"/>
      <c r="AT51" s="322"/>
      <c r="AU51" s="232"/>
      <c r="AV51" s="20"/>
      <c r="AW51" s="20"/>
      <c r="AX51" s="118"/>
      <c r="AY51" s="135"/>
      <c r="AZ51" s="135"/>
      <c r="BA51" s="135"/>
      <c r="BB51" s="135"/>
      <c r="BC51" s="135"/>
      <c r="BD51" s="135"/>
    </row>
    <row r="52" spans="1:56" s="129" customFormat="1" ht="12.75" customHeight="1">
      <c r="A52" s="464"/>
      <c r="B52" s="465"/>
      <c r="C52" s="92"/>
      <c r="D52" s="335" t="s">
        <v>315</v>
      </c>
      <c r="E52" s="335"/>
      <c r="F52" s="354" t="s">
        <v>879</v>
      </c>
      <c r="G52" s="349"/>
      <c r="H52" s="349"/>
      <c r="I52" s="349"/>
      <c r="J52" s="349"/>
      <c r="K52" s="349"/>
      <c r="L52" s="349"/>
      <c r="M52" s="349"/>
      <c r="N52" s="349"/>
      <c r="O52" s="349"/>
      <c r="P52" s="349"/>
      <c r="Q52" s="349"/>
      <c r="R52" s="349"/>
      <c r="S52" s="349"/>
      <c r="T52" s="349"/>
      <c r="U52" s="349"/>
      <c r="V52" s="349"/>
      <c r="W52" s="326" t="s">
        <v>355</v>
      </c>
      <c r="X52" s="326"/>
      <c r="Y52" s="326"/>
      <c r="Z52" s="327">
        <v>0</v>
      </c>
      <c r="AA52" s="328"/>
      <c r="AB52" s="328"/>
      <c r="AC52" s="328"/>
      <c r="AD52" s="328"/>
      <c r="AE52" s="328"/>
      <c r="AF52" s="328"/>
      <c r="AG52" s="328"/>
      <c r="AH52" s="328"/>
      <c r="AI52" s="328"/>
      <c r="AJ52" s="328"/>
      <c r="AK52" s="329"/>
      <c r="AL52" s="322">
        <f>MIN(MIN(IF(INT(MID(sheet1.DOB,7,4))&lt;1953,IF(MID(sheet1.ResidentialStatus1,1,3)="NRI",35000,40000),IF(INT(MID(sheet1.DOB,7,4))=1953,
IF(INT(MID(sheet1.DOB,4,2))&lt;4,IF(MID(sheet1.ResidentialStatus1,1,3)="NRI",35000,40000),35000),35000)),VALUE(IncD.Section80D)),w_1)</f>
        <v>0</v>
      </c>
      <c r="AM52" s="322"/>
      <c r="AN52" s="322"/>
      <c r="AO52" s="322"/>
      <c r="AP52" s="322"/>
      <c r="AQ52" s="322"/>
      <c r="AR52" s="322"/>
      <c r="AS52" s="322"/>
      <c r="AT52" s="322"/>
      <c r="AU52" s="232"/>
      <c r="AV52" s="20"/>
      <c r="AW52" s="20"/>
      <c r="AX52" s="118"/>
      <c r="AY52" s="135"/>
      <c r="AZ52" s="135"/>
      <c r="BA52" s="135"/>
      <c r="BB52" s="135"/>
      <c r="BC52" s="135"/>
      <c r="BD52" s="135"/>
    </row>
    <row r="53" spans="1:56" s="129" customFormat="1" ht="12.75" customHeight="1">
      <c r="A53" s="464"/>
      <c r="B53" s="465"/>
      <c r="C53" s="92"/>
      <c r="D53" s="335" t="s">
        <v>316</v>
      </c>
      <c r="E53" s="335"/>
      <c r="F53" s="354" t="s">
        <v>880</v>
      </c>
      <c r="G53" s="349"/>
      <c r="H53" s="349"/>
      <c r="I53" s="349"/>
      <c r="J53" s="349"/>
      <c r="K53" s="349"/>
      <c r="L53" s="349"/>
      <c r="M53" s="349"/>
      <c r="N53" s="349"/>
      <c r="O53" s="349"/>
      <c r="P53" s="349"/>
      <c r="Q53" s="349"/>
      <c r="R53" s="349"/>
      <c r="S53" s="349"/>
      <c r="T53" s="349"/>
      <c r="U53" s="349"/>
      <c r="V53" s="349"/>
      <c r="W53" s="326" t="s">
        <v>356</v>
      </c>
      <c r="X53" s="326"/>
      <c r="Y53" s="326"/>
      <c r="Z53" s="327">
        <v>0</v>
      </c>
      <c r="AA53" s="328"/>
      <c r="AB53" s="328"/>
      <c r="AC53" s="328"/>
      <c r="AD53" s="328"/>
      <c r="AE53" s="328"/>
      <c r="AF53" s="328"/>
      <c r="AG53" s="328"/>
      <c r="AH53" s="328"/>
      <c r="AI53" s="328"/>
      <c r="AJ53" s="328"/>
      <c r="AK53" s="329"/>
      <c r="AL53" s="322">
        <f>MIN(IF(MID(sheet1.ResidentialStatus1,1,3)&lt;&gt;"NRI",MIN(100000,VALUE(IncD.Section80DD)),0),w_1)</f>
        <v>0</v>
      </c>
      <c r="AM53" s="322"/>
      <c r="AN53" s="322"/>
      <c r="AO53" s="322"/>
      <c r="AP53" s="322"/>
      <c r="AQ53" s="322"/>
      <c r="AR53" s="322"/>
      <c r="AS53" s="322"/>
      <c r="AT53" s="322"/>
      <c r="AU53" s="232"/>
      <c r="AV53" s="20"/>
      <c r="AW53" s="20"/>
      <c r="AX53" s="118"/>
      <c r="AY53" s="135"/>
      <c r="AZ53" s="135"/>
      <c r="BA53" s="135"/>
      <c r="BB53" s="135"/>
      <c r="BC53" s="135"/>
      <c r="BD53" s="135"/>
    </row>
    <row r="54" spans="1:56" s="129" customFormat="1" ht="12.75" customHeight="1">
      <c r="A54" s="464"/>
      <c r="B54" s="465"/>
      <c r="C54" s="92"/>
      <c r="D54" s="335" t="s">
        <v>317</v>
      </c>
      <c r="E54" s="335"/>
      <c r="F54" s="354" t="s">
        <v>881</v>
      </c>
      <c r="G54" s="349"/>
      <c r="H54" s="349"/>
      <c r="I54" s="349"/>
      <c r="J54" s="349"/>
      <c r="K54" s="349"/>
      <c r="L54" s="349"/>
      <c r="M54" s="349"/>
      <c r="N54" s="349"/>
      <c r="O54" s="349"/>
      <c r="P54" s="349"/>
      <c r="Q54" s="349"/>
      <c r="R54" s="349"/>
      <c r="S54" s="349"/>
      <c r="T54" s="349"/>
      <c r="U54" s="349"/>
      <c r="V54" s="349"/>
      <c r="W54" s="326" t="s">
        <v>357</v>
      </c>
      <c r="X54" s="326"/>
      <c r="Y54" s="326"/>
      <c r="Z54" s="327">
        <v>0</v>
      </c>
      <c r="AA54" s="328"/>
      <c r="AB54" s="328"/>
      <c r="AC54" s="328"/>
      <c r="AD54" s="328"/>
      <c r="AE54" s="328"/>
      <c r="AF54" s="328"/>
      <c r="AG54" s="328"/>
      <c r="AH54" s="328"/>
      <c r="AI54" s="328"/>
      <c r="AJ54" s="328"/>
      <c r="AK54" s="329"/>
      <c r="AL54" s="322">
        <f>MIN(IF(MID(sheet1.ResidentialStatus1,1,3)&lt;&gt;"NRI",MIN(60000,VALUE(IncD.Section80DDB)),0),w_1)</f>
        <v>0</v>
      </c>
      <c r="AM54" s="322"/>
      <c r="AN54" s="322"/>
      <c r="AO54" s="322"/>
      <c r="AP54" s="322"/>
      <c r="AQ54" s="322"/>
      <c r="AR54" s="322"/>
      <c r="AS54" s="322"/>
      <c r="AT54" s="322"/>
      <c r="AU54" s="232"/>
      <c r="AV54" s="20"/>
      <c r="AW54" s="20"/>
      <c r="AX54" s="118"/>
      <c r="AY54" s="135"/>
      <c r="AZ54" s="135"/>
      <c r="BA54" s="135"/>
      <c r="BB54" s="135"/>
      <c r="BC54" s="135"/>
      <c r="BD54" s="135"/>
    </row>
    <row r="55" spans="1:56" s="129" customFormat="1" ht="12.75" customHeight="1">
      <c r="A55" s="464"/>
      <c r="B55" s="465"/>
      <c r="C55" s="92"/>
      <c r="D55" s="335" t="s">
        <v>320</v>
      </c>
      <c r="E55" s="335"/>
      <c r="F55" s="354" t="s">
        <v>882</v>
      </c>
      <c r="G55" s="349"/>
      <c r="H55" s="349"/>
      <c r="I55" s="349"/>
      <c r="J55" s="349"/>
      <c r="K55" s="349"/>
      <c r="L55" s="349"/>
      <c r="M55" s="349"/>
      <c r="N55" s="349"/>
      <c r="O55" s="349"/>
      <c r="P55" s="349"/>
      <c r="Q55" s="349"/>
      <c r="R55" s="349"/>
      <c r="S55" s="349"/>
      <c r="T55" s="349"/>
      <c r="U55" s="349"/>
      <c r="V55" s="349"/>
      <c r="W55" s="326" t="s">
        <v>358</v>
      </c>
      <c r="X55" s="326"/>
      <c r="Y55" s="326"/>
      <c r="Z55" s="327">
        <v>0</v>
      </c>
      <c r="AA55" s="328"/>
      <c r="AB55" s="328"/>
      <c r="AC55" s="328"/>
      <c r="AD55" s="328"/>
      <c r="AE55" s="328"/>
      <c r="AF55" s="328"/>
      <c r="AG55" s="328"/>
      <c r="AH55" s="328"/>
      <c r="AI55" s="328"/>
      <c r="AJ55" s="328"/>
      <c r="AK55" s="329"/>
      <c r="AL55" s="322">
        <f>IF(MID(sheet1.Status,1,1)="H",0,MIN(VALUE(IncD.Section80E),w_1))</f>
        <v>0</v>
      </c>
      <c r="AM55" s="322"/>
      <c r="AN55" s="322"/>
      <c r="AO55" s="322"/>
      <c r="AP55" s="322"/>
      <c r="AQ55" s="322"/>
      <c r="AR55" s="322"/>
      <c r="AS55" s="322"/>
      <c r="AT55" s="322"/>
      <c r="AU55" s="232"/>
      <c r="AV55" s="20"/>
      <c r="AW55" s="20"/>
      <c r="AX55" s="118"/>
      <c r="AY55" s="135"/>
      <c r="AZ55" s="135"/>
      <c r="BA55" s="135"/>
      <c r="BB55" s="135"/>
      <c r="BC55" s="135"/>
      <c r="BD55" s="135"/>
    </row>
    <row r="56" spans="1:56" s="129" customFormat="1" ht="12.75" customHeight="1">
      <c r="A56" s="464"/>
      <c r="B56" s="465"/>
      <c r="C56" s="92"/>
      <c r="D56" s="335" t="s">
        <v>960</v>
      </c>
      <c r="E56" s="335"/>
      <c r="F56" s="393" t="s">
        <v>252</v>
      </c>
      <c r="G56" s="394"/>
      <c r="H56" s="394"/>
      <c r="I56" s="394"/>
      <c r="J56" s="394"/>
      <c r="K56" s="394"/>
      <c r="L56" s="394"/>
      <c r="M56" s="394"/>
      <c r="N56" s="394"/>
      <c r="O56" s="394"/>
      <c r="P56" s="394"/>
      <c r="Q56" s="394"/>
      <c r="R56" s="394"/>
      <c r="S56" s="394"/>
      <c r="T56" s="394"/>
      <c r="U56" s="394"/>
      <c r="V56" s="394"/>
      <c r="W56" s="326" t="s">
        <v>359</v>
      </c>
      <c r="X56" s="326"/>
      <c r="Y56" s="326"/>
      <c r="Z56" s="330">
        <f>MIN(w_1,Per5080G.TotalEligibleDonationsUs80G)</f>
        <v>0</v>
      </c>
      <c r="AA56" s="331"/>
      <c r="AB56" s="331"/>
      <c r="AC56" s="331"/>
      <c r="AD56" s="331"/>
      <c r="AE56" s="331"/>
      <c r="AF56" s="331"/>
      <c r="AG56" s="331"/>
      <c r="AH56" s="331"/>
      <c r="AI56" s="331"/>
      <c r="AJ56" s="331"/>
      <c r="AK56" s="332"/>
      <c r="AL56" s="322">
        <f>MIN(w_1,Per5080G.TotalEligibleDonationsUs80G)</f>
        <v>0</v>
      </c>
      <c r="AM56" s="322"/>
      <c r="AN56" s="322"/>
      <c r="AO56" s="322"/>
      <c r="AP56" s="322"/>
      <c r="AQ56" s="322"/>
      <c r="AR56" s="322"/>
      <c r="AS56" s="322"/>
      <c r="AT56" s="322"/>
      <c r="AU56" s="232"/>
      <c r="AV56" s="20"/>
      <c r="AW56" s="20"/>
      <c r="AX56" s="118"/>
      <c r="AY56" s="135"/>
      <c r="AZ56" s="135"/>
      <c r="BA56" s="135"/>
      <c r="BB56" s="135"/>
      <c r="BC56" s="135"/>
      <c r="BD56" s="135"/>
    </row>
    <row r="57" spans="1:56" s="129" customFormat="1" ht="12.75" customHeight="1">
      <c r="A57" s="464"/>
      <c r="B57" s="465"/>
      <c r="C57" s="92"/>
      <c r="D57" s="335" t="s">
        <v>321</v>
      </c>
      <c r="E57" s="335"/>
      <c r="F57" s="354" t="s">
        <v>883</v>
      </c>
      <c r="G57" s="349"/>
      <c r="H57" s="349"/>
      <c r="I57" s="349"/>
      <c r="J57" s="349"/>
      <c r="K57" s="349"/>
      <c r="L57" s="349"/>
      <c r="M57" s="349"/>
      <c r="N57" s="349"/>
      <c r="O57" s="349"/>
      <c r="P57" s="349"/>
      <c r="Q57" s="349"/>
      <c r="R57" s="349"/>
      <c r="S57" s="349"/>
      <c r="T57" s="349"/>
      <c r="U57" s="349"/>
      <c r="V57" s="349"/>
      <c r="W57" s="326" t="s">
        <v>360</v>
      </c>
      <c r="X57" s="326"/>
      <c r="Y57" s="326"/>
      <c r="Z57" s="327">
        <v>0</v>
      </c>
      <c r="AA57" s="328"/>
      <c r="AB57" s="328"/>
      <c r="AC57" s="328"/>
      <c r="AD57" s="328"/>
      <c r="AE57" s="328"/>
      <c r="AF57" s="328"/>
      <c r="AG57" s="328"/>
      <c r="AH57" s="328"/>
      <c r="AI57" s="328"/>
      <c r="AJ57" s="328"/>
      <c r="AK57" s="329"/>
      <c r="AL57" s="322">
        <f>MIN(MIN(ROUND(IF(MID(sheet1.Status,1,1)="H",0,MIN(24000, 0.25*(MAX(0,w_1-(SUM(AL46:AU56)+SUM(AL58:AU59)
+IncD.Section80U_Calc))))),0),VALUE(IncD.Section80GG)),w_1)</f>
        <v>0</v>
      </c>
      <c r="AM57" s="322"/>
      <c r="AN57" s="322"/>
      <c r="AO57" s="322"/>
      <c r="AP57" s="322"/>
      <c r="AQ57" s="322"/>
      <c r="AR57" s="322"/>
      <c r="AS57" s="322"/>
      <c r="AT57" s="322"/>
      <c r="AU57" s="232"/>
      <c r="AV57" s="20"/>
      <c r="AW57" s="20"/>
      <c r="AX57" s="118"/>
      <c r="AY57" s="135"/>
      <c r="AZ57" s="135"/>
      <c r="BA57" s="135"/>
      <c r="BB57" s="135"/>
      <c r="BC57" s="135"/>
      <c r="BD57" s="135"/>
    </row>
    <row r="58" spans="1:56" s="129" customFormat="1" ht="12.75" hidden="1" customHeight="1">
      <c r="A58" s="464"/>
      <c r="B58" s="465"/>
      <c r="C58" s="92"/>
      <c r="D58" s="335" t="s">
        <v>318</v>
      </c>
      <c r="E58" s="335"/>
      <c r="F58" s="354" t="s">
        <v>884</v>
      </c>
      <c r="G58" s="349"/>
      <c r="H58" s="349"/>
      <c r="I58" s="349"/>
      <c r="J58" s="349"/>
      <c r="K58" s="349"/>
      <c r="L58" s="349"/>
      <c r="M58" s="349"/>
      <c r="N58" s="349"/>
      <c r="O58" s="349"/>
      <c r="P58" s="349"/>
      <c r="Q58" s="349"/>
      <c r="R58" s="349"/>
      <c r="S58" s="349"/>
      <c r="T58" s="349"/>
      <c r="U58" s="349"/>
      <c r="V58" s="349"/>
      <c r="W58" s="326" t="s">
        <v>361</v>
      </c>
      <c r="X58" s="326"/>
      <c r="Y58" s="326"/>
      <c r="Z58" s="327">
        <v>0</v>
      </c>
      <c r="AA58" s="328"/>
      <c r="AB58" s="328"/>
      <c r="AC58" s="328"/>
      <c r="AD58" s="328"/>
      <c r="AE58" s="328"/>
      <c r="AF58" s="328"/>
      <c r="AG58" s="328"/>
      <c r="AH58" s="328"/>
      <c r="AI58" s="328"/>
      <c r="AJ58" s="328"/>
      <c r="AK58" s="329"/>
      <c r="AL58" s="322">
        <f>MIN(VALUE(IncD.Section80GGA),w_1)</f>
        <v>0</v>
      </c>
      <c r="AM58" s="322"/>
      <c r="AN58" s="322"/>
      <c r="AO58" s="322"/>
      <c r="AP58" s="322"/>
      <c r="AQ58" s="322"/>
      <c r="AR58" s="322"/>
      <c r="AS58" s="322"/>
      <c r="AT58" s="322"/>
      <c r="AU58" s="232"/>
      <c r="AV58" s="20"/>
      <c r="AW58" s="20"/>
      <c r="AX58" s="118"/>
      <c r="AY58" s="135"/>
      <c r="AZ58" s="135"/>
      <c r="BA58" s="135"/>
      <c r="BB58" s="135"/>
      <c r="BC58" s="135"/>
      <c r="BD58" s="135"/>
    </row>
    <row r="59" spans="1:56" s="129" customFormat="1" ht="12.75" customHeight="1">
      <c r="A59" s="464"/>
      <c r="B59" s="465"/>
      <c r="C59" s="92"/>
      <c r="D59" s="335" t="s">
        <v>318</v>
      </c>
      <c r="E59" s="335"/>
      <c r="F59" s="354" t="s">
        <v>885</v>
      </c>
      <c r="G59" s="349"/>
      <c r="H59" s="349"/>
      <c r="I59" s="349"/>
      <c r="J59" s="349"/>
      <c r="K59" s="349"/>
      <c r="L59" s="349"/>
      <c r="M59" s="349"/>
      <c r="N59" s="349"/>
      <c r="O59" s="349"/>
      <c r="P59" s="349"/>
      <c r="Q59" s="349"/>
      <c r="R59" s="349"/>
      <c r="S59" s="349"/>
      <c r="T59" s="349"/>
      <c r="U59" s="349"/>
      <c r="V59" s="349"/>
      <c r="W59" s="326" t="s">
        <v>361</v>
      </c>
      <c r="X59" s="326"/>
      <c r="Y59" s="326"/>
      <c r="Z59" s="327">
        <v>0</v>
      </c>
      <c r="AA59" s="328"/>
      <c r="AB59" s="328"/>
      <c r="AC59" s="328"/>
      <c r="AD59" s="328"/>
      <c r="AE59" s="328"/>
      <c r="AF59" s="328"/>
      <c r="AG59" s="328"/>
      <c r="AH59" s="328"/>
      <c r="AI59" s="328"/>
      <c r="AJ59" s="328"/>
      <c r="AK59" s="329"/>
      <c r="AL59" s="322">
        <f>MIN(IF(MID(sheet1.PAN,4,1)="J",0,IF(MID(sheet1.PAN,4,1)="L",0,VALUE(IncD.Section80GGC))),w_1)</f>
        <v>0</v>
      </c>
      <c r="AM59" s="322"/>
      <c r="AN59" s="322"/>
      <c r="AO59" s="322"/>
      <c r="AP59" s="322"/>
      <c r="AQ59" s="322"/>
      <c r="AR59" s="322"/>
      <c r="AS59" s="322"/>
      <c r="AT59" s="322"/>
      <c r="AU59" s="232"/>
      <c r="AV59" s="20"/>
      <c r="AW59" s="20"/>
      <c r="AX59" s="118"/>
      <c r="AY59" s="135"/>
      <c r="AZ59" s="135"/>
      <c r="BA59" s="135"/>
      <c r="BB59" s="135"/>
      <c r="BC59" s="135"/>
      <c r="BD59" s="135"/>
    </row>
    <row r="60" spans="1:56" s="129" customFormat="1" ht="12.75" customHeight="1">
      <c r="A60" s="464"/>
      <c r="B60" s="465"/>
      <c r="C60" s="92"/>
      <c r="D60" s="335" t="s">
        <v>319</v>
      </c>
      <c r="E60" s="335"/>
      <c r="F60" s="354" t="s">
        <v>1321</v>
      </c>
      <c r="G60" s="349"/>
      <c r="H60" s="349"/>
      <c r="I60" s="349"/>
      <c r="J60" s="349"/>
      <c r="K60" s="349"/>
      <c r="L60" s="349"/>
      <c r="M60" s="349"/>
      <c r="N60" s="349"/>
      <c r="O60" s="349"/>
      <c r="P60" s="349"/>
      <c r="Q60" s="349"/>
      <c r="R60" s="349"/>
      <c r="S60" s="349"/>
      <c r="T60" s="349"/>
      <c r="U60" s="349"/>
      <c r="V60" s="349"/>
      <c r="W60" s="326" t="s">
        <v>362</v>
      </c>
      <c r="X60" s="326"/>
      <c r="Y60" s="326"/>
      <c r="Z60" s="327">
        <v>0</v>
      </c>
      <c r="AA60" s="328"/>
      <c r="AB60" s="328"/>
      <c r="AC60" s="328"/>
      <c r="AD60" s="328"/>
      <c r="AE60" s="328"/>
      <c r="AF60" s="328"/>
      <c r="AG60" s="328"/>
      <c r="AH60" s="328"/>
      <c r="AI60" s="328"/>
      <c r="AJ60" s="328"/>
      <c r="AK60" s="329"/>
      <c r="AL60" s="322">
        <f>IF(MID(sheet1.ResidentialStatus1,1,3)="NRI",0,IF(MID(sheet1.Status,1,1)="H",0,MIN(MIN(VALUE(IncD.Section80RRB),300000),w_1)))</f>
        <v>0</v>
      </c>
      <c r="AM60" s="323"/>
      <c r="AN60" s="323"/>
      <c r="AO60" s="323"/>
      <c r="AP60" s="323"/>
      <c r="AQ60" s="323"/>
      <c r="AR60" s="323"/>
      <c r="AS60" s="323"/>
      <c r="AT60" s="323"/>
      <c r="AU60" s="232"/>
      <c r="AV60" s="20"/>
      <c r="AW60" s="20"/>
      <c r="AX60" s="118"/>
      <c r="AY60" s="135"/>
      <c r="AZ60" s="135"/>
      <c r="BA60" s="135"/>
      <c r="BB60" s="135"/>
      <c r="BC60" s="135"/>
      <c r="BD60" s="135"/>
    </row>
    <row r="61" spans="1:56" s="129" customFormat="1" ht="12.75" customHeight="1">
      <c r="A61" s="464"/>
      <c r="B61" s="465"/>
      <c r="C61" s="92"/>
      <c r="D61" s="335" t="s">
        <v>897</v>
      </c>
      <c r="E61" s="335"/>
      <c r="F61" s="354" t="s">
        <v>1322</v>
      </c>
      <c r="G61" s="349"/>
      <c r="H61" s="349"/>
      <c r="I61" s="349"/>
      <c r="J61" s="349"/>
      <c r="K61" s="349"/>
      <c r="L61" s="349"/>
      <c r="M61" s="349"/>
      <c r="N61" s="349"/>
      <c r="O61" s="349"/>
      <c r="P61" s="349"/>
      <c r="Q61" s="349"/>
      <c r="R61" s="349"/>
      <c r="S61" s="349"/>
      <c r="T61" s="349"/>
      <c r="U61" s="349"/>
      <c r="V61" s="349"/>
      <c r="W61" s="326" t="s">
        <v>363</v>
      </c>
      <c r="X61" s="326"/>
      <c r="Y61" s="326"/>
      <c r="Z61" s="327">
        <v>0</v>
      </c>
      <c r="AA61" s="328"/>
      <c r="AB61" s="328"/>
      <c r="AC61" s="328"/>
      <c r="AD61" s="328"/>
      <c r="AE61" s="328"/>
      <c r="AF61" s="328"/>
      <c r="AG61" s="328"/>
      <c r="AH61" s="328"/>
      <c r="AI61" s="328"/>
      <c r="AJ61" s="328"/>
      <c r="AK61" s="329"/>
      <c r="AL61" s="322">
        <f>IF(MID(sheet1.ResidentialStatus1,1,3)="NRI",0,IF(MID(sheet1.Status,1,1)="H",0,MIN(MIN(VALUE(IncD.Section80QQB),300000),w_1)))</f>
        <v>0</v>
      </c>
      <c r="AM61" s="323"/>
      <c r="AN61" s="323"/>
      <c r="AO61" s="323"/>
      <c r="AP61" s="323"/>
      <c r="AQ61" s="323"/>
      <c r="AR61" s="323"/>
      <c r="AS61" s="323"/>
      <c r="AT61" s="323"/>
      <c r="AU61" s="232"/>
      <c r="AV61" s="20"/>
      <c r="AW61" s="20"/>
      <c r="AX61" s="118"/>
      <c r="AY61" s="135"/>
      <c r="AZ61" s="135"/>
      <c r="BA61" s="135"/>
      <c r="BB61" s="135"/>
      <c r="BC61" s="135"/>
      <c r="BD61" s="135"/>
    </row>
    <row r="62" spans="1:56" s="129" customFormat="1" ht="12.75" customHeight="1">
      <c r="A62" s="464"/>
      <c r="B62" s="465"/>
      <c r="C62" s="92"/>
      <c r="D62" s="335" t="s">
        <v>1326</v>
      </c>
      <c r="E62" s="335"/>
      <c r="F62" s="354" t="s">
        <v>1323</v>
      </c>
      <c r="G62" s="349"/>
      <c r="H62" s="349"/>
      <c r="I62" s="349"/>
      <c r="J62" s="349"/>
      <c r="K62" s="349"/>
      <c r="L62" s="349"/>
      <c r="M62" s="349"/>
      <c r="N62" s="349"/>
      <c r="O62" s="349"/>
      <c r="P62" s="349"/>
      <c r="Q62" s="349"/>
      <c r="R62" s="349"/>
      <c r="S62" s="349"/>
      <c r="T62" s="349"/>
      <c r="U62" s="349"/>
      <c r="V62" s="349"/>
      <c r="W62" s="326" t="s">
        <v>1324</v>
      </c>
      <c r="X62" s="326"/>
      <c r="Y62" s="326"/>
      <c r="Z62" s="327">
        <v>0</v>
      </c>
      <c r="AA62" s="328"/>
      <c r="AB62" s="328"/>
      <c r="AC62" s="328"/>
      <c r="AD62" s="328"/>
      <c r="AE62" s="328"/>
      <c r="AF62" s="328"/>
      <c r="AG62" s="328"/>
      <c r="AH62" s="328"/>
      <c r="AI62" s="328"/>
      <c r="AJ62" s="328"/>
      <c r="AK62" s="329"/>
      <c r="AL62" s="322">
        <f>MIN(MIN(VALUE(IncD.Section80TTA),10000),w_1)</f>
        <v>0</v>
      </c>
      <c r="AM62" s="323"/>
      <c r="AN62" s="323"/>
      <c r="AO62" s="323"/>
      <c r="AP62" s="323"/>
      <c r="AQ62" s="323"/>
      <c r="AR62" s="323"/>
      <c r="AS62" s="323"/>
      <c r="AT62" s="323"/>
      <c r="AU62" s="232"/>
      <c r="AV62" s="20"/>
      <c r="AW62" s="20"/>
      <c r="AX62" s="118"/>
      <c r="AY62" s="135"/>
      <c r="AZ62" s="135"/>
      <c r="BA62" s="135"/>
      <c r="BB62" s="135"/>
      <c r="BC62" s="135"/>
      <c r="BD62" s="135"/>
    </row>
    <row r="63" spans="1:56" s="129" customFormat="1" ht="12.75" customHeight="1">
      <c r="A63" s="464"/>
      <c r="B63" s="465"/>
      <c r="C63" s="92"/>
      <c r="D63" s="335" t="s">
        <v>1357</v>
      </c>
      <c r="E63" s="335"/>
      <c r="F63" s="354" t="s">
        <v>886</v>
      </c>
      <c r="G63" s="349"/>
      <c r="H63" s="349"/>
      <c r="I63" s="349"/>
      <c r="J63" s="349"/>
      <c r="K63" s="349"/>
      <c r="L63" s="349"/>
      <c r="M63" s="349"/>
      <c r="N63" s="349"/>
      <c r="O63" s="349"/>
      <c r="P63" s="349"/>
      <c r="Q63" s="349"/>
      <c r="R63" s="349"/>
      <c r="S63" s="349"/>
      <c r="T63" s="349"/>
      <c r="U63" s="349"/>
      <c r="V63" s="349"/>
      <c r="W63" s="326" t="s">
        <v>1325</v>
      </c>
      <c r="X63" s="326"/>
      <c r="Y63" s="326"/>
      <c r="Z63" s="327">
        <v>0</v>
      </c>
      <c r="AA63" s="328"/>
      <c r="AB63" s="328"/>
      <c r="AC63" s="328"/>
      <c r="AD63" s="328"/>
      <c r="AE63" s="328"/>
      <c r="AF63" s="328"/>
      <c r="AG63" s="328"/>
      <c r="AH63" s="328"/>
      <c r="AI63" s="328"/>
      <c r="AJ63" s="328"/>
      <c r="AK63" s="329"/>
      <c r="AL63" s="322">
        <f>MIN(IF(MID(sheet1.ResidentialStatus1,1,3)="NRI",0,
IF(MID(sheet1.Status,1,1)&lt;&gt;"I",0,MIN(VALUE(IncD.Section80U),100000))),w_1)</f>
        <v>0</v>
      </c>
      <c r="AM63" s="323"/>
      <c r="AN63" s="323"/>
      <c r="AO63" s="323"/>
      <c r="AP63" s="323"/>
      <c r="AQ63" s="323"/>
      <c r="AR63" s="323"/>
      <c r="AS63" s="323"/>
      <c r="AT63" s="323"/>
      <c r="AU63" s="232"/>
      <c r="AV63" s="20"/>
      <c r="AW63" s="20"/>
      <c r="AX63" s="118"/>
      <c r="AY63" s="135"/>
      <c r="AZ63" s="135"/>
      <c r="BA63" s="135"/>
      <c r="BB63" s="135"/>
      <c r="BC63" s="135"/>
      <c r="BD63" s="135"/>
    </row>
    <row r="64" spans="1:56" s="129" customFormat="1" ht="12.75" customHeight="1">
      <c r="A64" s="464"/>
      <c r="B64" s="465"/>
      <c r="C64" s="90">
        <v>7</v>
      </c>
      <c r="D64" s="208" t="s">
        <v>1356</v>
      </c>
      <c r="E64" s="209"/>
      <c r="F64" s="209"/>
      <c r="G64" s="209"/>
      <c r="H64" s="209"/>
      <c r="I64" s="209"/>
      <c r="J64" s="209"/>
      <c r="K64" s="209"/>
      <c r="L64" s="209"/>
      <c r="M64" s="209"/>
      <c r="N64" s="209"/>
      <c r="O64" s="209"/>
      <c r="P64" s="209"/>
      <c r="Q64" s="209"/>
      <c r="R64" s="209"/>
      <c r="S64" s="209"/>
      <c r="T64" s="209"/>
      <c r="U64" s="209"/>
      <c r="V64" s="209"/>
      <c r="W64" s="326">
        <v>7</v>
      </c>
      <c r="X64" s="326"/>
      <c r="Y64" s="326"/>
      <c r="Z64" s="330">
        <f>IncD.Section80CCG + IncD.Section80RRB + IncD.Section80QQB + IncD.Section80TTA + IncD.Section80U+IncD.Section80GGC+IncD.Section80GGA+IncD.Section80GG+IncD.Section80G+IncD.Section80E+IncD.Section80DDB+IncD.Section80DD+IncD.Section80D+IncD.Section80CCF+IncD.Section80CCD+IncD.Section80CCD_SE+IncD.Section80CCC+IncD.Section80C</f>
        <v>26088</v>
      </c>
      <c r="AA64" s="331"/>
      <c r="AB64" s="331"/>
      <c r="AC64" s="331"/>
      <c r="AD64" s="331"/>
      <c r="AE64" s="331"/>
      <c r="AF64" s="331"/>
      <c r="AG64" s="331"/>
      <c r="AH64" s="331"/>
      <c r="AI64" s="331"/>
      <c r="AJ64" s="331"/>
      <c r="AK64" s="332"/>
      <c r="AL64" s="10">
        <v>7</v>
      </c>
      <c r="AM64" s="322">
        <f>MIN(MIN(Z64,SUM(AL46:AU63)),w_1)</f>
        <v>26088</v>
      </c>
      <c r="AN64" s="322"/>
      <c r="AO64" s="322"/>
      <c r="AP64" s="322"/>
      <c r="AQ64" s="322"/>
      <c r="AR64" s="322"/>
      <c r="AS64" s="322"/>
      <c r="AT64" s="322"/>
      <c r="AU64" s="322"/>
      <c r="AV64"/>
      <c r="AW64"/>
      <c r="AX64"/>
      <c r="AY64" s="135"/>
      <c r="AZ64" s="135"/>
      <c r="BA64" s="135"/>
      <c r="BB64" s="135"/>
      <c r="BC64" s="135"/>
      <c r="BD64" s="135"/>
    </row>
    <row r="65" spans="1:56" s="129" customFormat="1" ht="12.75" customHeight="1">
      <c r="A65" s="236"/>
      <c r="B65" s="237"/>
      <c r="C65" s="90">
        <v>8</v>
      </c>
      <c r="D65" s="362" t="s">
        <v>364</v>
      </c>
      <c r="E65" s="363"/>
      <c r="F65" s="363"/>
      <c r="G65" s="363"/>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4"/>
      <c r="AL65" s="93">
        <v>8</v>
      </c>
      <c r="AM65" s="355">
        <f>ROUND(IncD.GrossTotIncome-IncD.TotalChapVIADeductions,-1)</f>
        <v>258780</v>
      </c>
      <c r="AN65" s="356"/>
      <c r="AO65" s="356"/>
      <c r="AP65" s="356"/>
      <c r="AQ65" s="356"/>
      <c r="AR65" s="356"/>
      <c r="AS65" s="356"/>
      <c r="AT65" s="356"/>
      <c r="AU65" s="357"/>
      <c r="AV65" s="20"/>
      <c r="AW65" s="20"/>
      <c r="AX65" s="118"/>
      <c r="AY65" s="135"/>
      <c r="AZ65" s="135"/>
      <c r="BA65" s="135"/>
      <c r="BB65" s="135"/>
      <c r="BC65" s="135"/>
      <c r="BD65" s="135"/>
    </row>
    <row r="66" spans="1:56" s="129" customFormat="1" ht="12.75" hidden="1" customHeight="1">
      <c r="A66" s="236"/>
      <c r="B66" s="237"/>
      <c r="C66" s="95">
        <v>6</v>
      </c>
      <c r="D66" s="390" t="s">
        <v>115</v>
      </c>
      <c r="E66" s="391"/>
      <c r="F66" s="391"/>
      <c r="G66" s="391"/>
      <c r="H66" s="391"/>
      <c r="I66" s="391"/>
      <c r="J66" s="391"/>
      <c r="K66" s="391"/>
      <c r="L66" s="391"/>
      <c r="M66" s="391"/>
      <c r="N66" s="391"/>
      <c r="O66" s="391"/>
      <c r="P66" s="391"/>
      <c r="Q66" s="391"/>
      <c r="R66" s="391"/>
      <c r="S66" s="391"/>
      <c r="T66" s="391"/>
      <c r="U66" s="391"/>
      <c r="V66" s="391"/>
      <c r="W66" s="391"/>
      <c r="X66" s="391"/>
      <c r="Y66" s="391"/>
      <c r="Z66" s="391"/>
      <c r="AA66" s="391"/>
      <c r="AB66" s="391"/>
      <c r="AC66" s="391"/>
      <c r="AD66" s="391"/>
      <c r="AE66" s="391"/>
      <c r="AF66" s="391"/>
      <c r="AG66" s="391"/>
      <c r="AH66" s="391"/>
      <c r="AI66" s="391"/>
      <c r="AJ66" s="391"/>
      <c r="AK66" s="392"/>
      <c r="AL66" s="10">
        <v>6</v>
      </c>
      <c r="AM66" s="359">
        <v>0</v>
      </c>
      <c r="AN66" s="360"/>
      <c r="AO66" s="360"/>
      <c r="AP66" s="360"/>
      <c r="AQ66" s="360"/>
      <c r="AR66" s="360"/>
      <c r="AS66" s="360"/>
      <c r="AT66" s="360"/>
      <c r="AU66" s="361"/>
      <c r="AV66" s="20"/>
      <c r="AW66" s="20"/>
      <c r="AX66" s="118"/>
      <c r="AY66" s="135"/>
      <c r="AZ66" s="135"/>
      <c r="BA66" s="135"/>
      <c r="BB66" s="135"/>
      <c r="BC66" s="135"/>
      <c r="BD66" s="135"/>
    </row>
    <row r="67" spans="1:56" s="129" customFormat="1" ht="12.75" hidden="1" customHeight="1">
      <c r="A67" s="238"/>
      <c r="B67" s="239"/>
      <c r="C67" s="94">
        <v>7</v>
      </c>
      <c r="D67" s="362" t="s">
        <v>888</v>
      </c>
      <c r="E67" s="363"/>
      <c r="F67" s="363"/>
      <c r="G67" s="363"/>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4"/>
      <c r="AL67" s="93">
        <v>7</v>
      </c>
      <c r="AM67" s="387">
        <f>IncD.NetAgriculturalIncome+IncD.TotalIncome</f>
        <v>258780</v>
      </c>
      <c r="AN67" s="388"/>
      <c r="AO67" s="388"/>
      <c r="AP67" s="388"/>
      <c r="AQ67" s="388"/>
      <c r="AR67" s="388"/>
      <c r="AS67" s="388"/>
      <c r="AT67" s="388"/>
      <c r="AU67" s="389"/>
      <c r="AV67" s="20"/>
      <c r="AW67" s="20"/>
      <c r="AX67" s="118"/>
      <c r="AY67" s="135"/>
      <c r="AZ67" s="135"/>
      <c r="BA67" s="135"/>
      <c r="BB67" s="135"/>
      <c r="BC67" s="135"/>
      <c r="BD67" s="135"/>
    </row>
    <row r="68" spans="1:56" s="129" customFormat="1" ht="12.75" hidden="1" customHeight="1">
      <c r="A68" s="358" t="s">
        <v>966</v>
      </c>
      <c r="B68" s="358"/>
      <c r="C68" s="95">
        <v>8</v>
      </c>
      <c r="D68" s="396" t="s">
        <v>958</v>
      </c>
      <c r="E68" s="397"/>
      <c r="F68" s="390" t="s">
        <v>632</v>
      </c>
      <c r="G68" s="391"/>
      <c r="H68" s="391"/>
      <c r="I68" s="391"/>
      <c r="J68" s="391"/>
      <c r="K68" s="391"/>
      <c r="L68" s="391"/>
      <c r="M68" s="391"/>
      <c r="N68" s="391"/>
      <c r="O68" s="391"/>
      <c r="P68" s="391"/>
      <c r="Q68" s="391"/>
      <c r="R68" s="391"/>
      <c r="S68" s="391"/>
      <c r="T68" s="391"/>
      <c r="U68" s="391"/>
      <c r="V68" s="391"/>
      <c r="W68" s="391"/>
      <c r="X68" s="391"/>
      <c r="Y68" s="391"/>
      <c r="Z68" s="391"/>
      <c r="AA68" s="391"/>
      <c r="AB68" s="391"/>
      <c r="AC68" s="391"/>
      <c r="AD68" s="391"/>
      <c r="AE68" s="391"/>
      <c r="AF68" s="391"/>
      <c r="AG68" s="391"/>
      <c r="AH68" s="391"/>
      <c r="AI68" s="391"/>
      <c r="AJ68" s="391"/>
      <c r="AK68" s="392"/>
      <c r="AL68" s="10" t="s">
        <v>322</v>
      </c>
      <c r="AM68" s="359">
        <v>283251</v>
      </c>
      <c r="AN68" s="360"/>
      <c r="AO68" s="360"/>
      <c r="AP68" s="360"/>
      <c r="AQ68" s="360"/>
      <c r="AR68" s="360"/>
      <c r="AS68" s="360"/>
      <c r="AT68" s="360"/>
      <c r="AU68" s="361"/>
      <c r="AV68" s="20"/>
      <c r="AW68" s="20"/>
      <c r="AX68" s="118"/>
      <c r="AY68" s="135"/>
      <c r="AZ68" s="135"/>
      <c r="BA68" s="135"/>
      <c r="BB68" s="135"/>
      <c r="BC68" s="135"/>
      <c r="BD68" s="135"/>
    </row>
    <row r="69" spans="1:56" s="129" customFormat="1" ht="12.75" hidden="1" customHeight="1">
      <c r="A69" s="358"/>
      <c r="B69" s="358"/>
      <c r="C69" s="95"/>
      <c r="D69" s="396" t="s">
        <v>959</v>
      </c>
      <c r="E69" s="397"/>
      <c r="F69" s="390" t="s">
        <v>116</v>
      </c>
      <c r="G69" s="391"/>
      <c r="H69" s="391"/>
      <c r="I69" s="391"/>
      <c r="J69" s="391"/>
      <c r="K69" s="391"/>
      <c r="L69" s="391"/>
      <c r="M69" s="391"/>
      <c r="N69" s="391"/>
      <c r="O69" s="391"/>
      <c r="P69" s="391"/>
      <c r="Q69" s="391"/>
      <c r="R69" s="391"/>
      <c r="S69" s="391"/>
      <c r="T69" s="391"/>
      <c r="U69" s="391"/>
      <c r="V69" s="391"/>
      <c r="W69" s="391"/>
      <c r="X69" s="391"/>
      <c r="Y69" s="391"/>
      <c r="Z69" s="391"/>
      <c r="AA69" s="391"/>
      <c r="AB69" s="391"/>
      <c r="AC69" s="391"/>
      <c r="AD69" s="391"/>
      <c r="AE69" s="391"/>
      <c r="AF69" s="391"/>
      <c r="AG69" s="391"/>
      <c r="AH69" s="391"/>
      <c r="AI69" s="391"/>
      <c r="AJ69" s="391"/>
      <c r="AK69" s="392"/>
      <c r="AL69" s="10" t="s">
        <v>323</v>
      </c>
      <c r="AM69" s="359">
        <v>0</v>
      </c>
      <c r="AN69" s="360"/>
      <c r="AO69" s="360"/>
      <c r="AP69" s="360"/>
      <c r="AQ69" s="360"/>
      <c r="AR69" s="360"/>
      <c r="AS69" s="360"/>
      <c r="AT69" s="360"/>
      <c r="AU69" s="361"/>
      <c r="AV69" s="20"/>
      <c r="AW69" s="20"/>
      <c r="AX69" s="118"/>
      <c r="AY69" s="135"/>
      <c r="AZ69" s="135"/>
      <c r="BA69" s="135"/>
      <c r="BB69" s="135"/>
      <c r="BC69" s="135"/>
      <c r="BD69" s="135"/>
    </row>
    <row r="70" spans="1:56" s="129" customFormat="1" ht="12.75" customHeight="1">
      <c r="A70" s="358"/>
      <c r="B70" s="358"/>
      <c r="C70" s="233">
        <v>9</v>
      </c>
      <c r="D70" s="209" t="s">
        <v>123</v>
      </c>
      <c r="E70" s="210"/>
      <c r="F70" s="208"/>
      <c r="G70" s="209"/>
      <c r="H70" s="209"/>
      <c r="I70" s="209"/>
      <c r="J70" s="209"/>
      <c r="K70" s="209"/>
      <c r="L70" s="209"/>
      <c r="M70" s="209"/>
      <c r="N70" s="209"/>
      <c r="O70" s="209"/>
      <c r="P70" s="209"/>
      <c r="Q70" s="209"/>
      <c r="R70" s="209"/>
      <c r="S70" s="209"/>
      <c r="T70" s="209"/>
      <c r="U70"/>
      <c r="V70"/>
      <c r="W70" s="18"/>
      <c r="X70" s="18"/>
      <c r="Y70" s="18"/>
      <c r="Z70" s="18"/>
      <c r="AA70" s="18"/>
      <c r="AB70" s="18"/>
      <c r="AC70" s="18"/>
      <c r="AD70" s="18"/>
      <c r="AE70" s="18"/>
      <c r="AF70" s="18"/>
      <c r="AG70" s="18"/>
      <c r="AH70" s="18"/>
      <c r="AI70" s="18"/>
      <c r="AJ70" s="18"/>
      <c r="AK70" s="84"/>
      <c r="AL70" s="93">
        <v>9</v>
      </c>
      <c r="AM70" s="351">
        <v>5878</v>
      </c>
      <c r="AN70" s="352"/>
      <c r="AO70" s="352"/>
      <c r="AP70" s="352"/>
      <c r="AQ70" s="352"/>
      <c r="AR70" s="352"/>
      <c r="AS70" s="352"/>
      <c r="AT70" s="352"/>
      <c r="AU70" s="353"/>
      <c r="AV70"/>
      <c r="AW70"/>
      <c r="AX70"/>
      <c r="AY70" s="135"/>
      <c r="AZ70" s="135"/>
      <c r="BA70" s="135"/>
      <c r="BB70" s="135"/>
      <c r="BC70" s="135"/>
      <c r="BD70" s="135"/>
    </row>
    <row r="71" spans="1:56" s="129" customFormat="1" ht="12.75" hidden="1" customHeight="1">
      <c r="A71" s="358"/>
      <c r="B71" s="358"/>
      <c r="C71" s="92"/>
      <c r="D71" s="373" t="s">
        <v>959</v>
      </c>
      <c r="E71" s="335"/>
      <c r="F71" s="395" t="s">
        <v>963</v>
      </c>
      <c r="G71" s="395"/>
      <c r="H71" s="395"/>
      <c r="I71" s="395"/>
      <c r="J71" s="395"/>
      <c r="K71" s="395"/>
      <c r="L71" s="395"/>
      <c r="M71" s="395"/>
      <c r="N71" s="395"/>
      <c r="O71" s="395"/>
      <c r="P71" s="395"/>
      <c r="Q71" s="395"/>
      <c r="R71" s="395"/>
      <c r="S71" s="395"/>
      <c r="T71" s="395"/>
      <c r="U71" s="395"/>
      <c r="V71" s="395"/>
      <c r="W71" s="335" t="s">
        <v>117</v>
      </c>
      <c r="X71" s="335"/>
      <c r="Y71" s="335"/>
      <c r="Z71" s="359">
        <v>0</v>
      </c>
      <c r="AA71" s="360"/>
      <c r="AB71" s="360"/>
      <c r="AC71" s="360"/>
      <c r="AD71" s="360"/>
      <c r="AE71" s="360"/>
      <c r="AF71" s="360"/>
      <c r="AG71" s="360"/>
      <c r="AH71" s="360"/>
      <c r="AI71" s="360"/>
      <c r="AJ71" s="360"/>
      <c r="AK71" s="361"/>
      <c r="AL71" s="211"/>
      <c r="AM71" s="212"/>
      <c r="AN71" s="212"/>
      <c r="AO71" s="212"/>
      <c r="AP71" s="212"/>
      <c r="AQ71" s="212"/>
      <c r="AR71" s="212"/>
      <c r="AS71" s="212"/>
      <c r="AT71" s="212"/>
      <c r="AU71" s="213"/>
      <c r="AV71" s="20"/>
      <c r="AW71" s="20"/>
      <c r="AX71" s="118"/>
      <c r="AY71" s="135"/>
      <c r="AZ71" s="135"/>
      <c r="BA71" s="135"/>
      <c r="BB71" s="135"/>
      <c r="BC71" s="135"/>
      <c r="BD71" s="135"/>
    </row>
    <row r="72" spans="1:56" s="129" customFormat="1">
      <c r="A72" s="358"/>
      <c r="B72" s="358"/>
      <c r="C72" s="233">
        <v>10</v>
      </c>
      <c r="D72" s="209" t="s">
        <v>366</v>
      </c>
      <c r="E72" s="210"/>
      <c r="F72" s="214"/>
      <c r="G72" s="215"/>
      <c r="H72" s="215"/>
      <c r="I72" s="215"/>
      <c r="J72" s="215"/>
      <c r="K72" s="215"/>
      <c r="L72" s="215"/>
      <c r="M72" s="215"/>
      <c r="N72" s="215"/>
      <c r="O72" s="215"/>
      <c r="P72" s="215"/>
      <c r="Q72" s="215"/>
      <c r="R72" s="215"/>
      <c r="S72" s="215"/>
      <c r="T72" s="215"/>
      <c r="U72" s="215"/>
      <c r="V72" s="216"/>
      <c r="W72"/>
      <c r="X72"/>
      <c r="Y72"/>
      <c r="Z72"/>
      <c r="AA72"/>
      <c r="AB72"/>
      <c r="AC72"/>
      <c r="AD72"/>
      <c r="AE72"/>
      <c r="AF72"/>
      <c r="AG72"/>
      <c r="AH72"/>
      <c r="AI72"/>
      <c r="AJ72"/>
      <c r="AK72"/>
      <c r="AL72" s="93">
        <v>10</v>
      </c>
      <c r="AM72" s="351">
        <v>176</v>
      </c>
      <c r="AN72" s="352"/>
      <c r="AO72" s="352"/>
      <c r="AP72" s="352"/>
      <c r="AQ72" s="352"/>
      <c r="AR72" s="352"/>
      <c r="AS72" s="352"/>
      <c r="AT72" s="352"/>
      <c r="AU72" s="353"/>
      <c r="AV72"/>
      <c r="AW72"/>
      <c r="AX72"/>
      <c r="AY72" s="135"/>
      <c r="AZ72" s="135"/>
      <c r="BA72" s="135"/>
      <c r="BB72" s="135"/>
      <c r="BC72" s="135"/>
      <c r="BD72" s="135"/>
    </row>
    <row r="73" spans="1:56" s="129" customFormat="1" ht="12.75" customHeight="1">
      <c r="A73" s="358"/>
      <c r="B73" s="358"/>
      <c r="C73" s="233">
        <v>11</v>
      </c>
      <c r="D73" s="219" t="s">
        <v>1355</v>
      </c>
      <c r="E73" s="217"/>
      <c r="F73" s="218"/>
      <c r="G73" s="219"/>
      <c r="H73" s="219"/>
      <c r="I73" s="219"/>
      <c r="J73" s="219"/>
      <c r="K73" s="219"/>
      <c r="L73" s="219"/>
      <c r="M73" s="219"/>
      <c r="N73" s="219"/>
      <c r="O73" s="219"/>
      <c r="P73" s="219"/>
      <c r="Q73" s="219"/>
      <c r="R73" s="219"/>
      <c r="S73" s="219"/>
      <c r="T73" s="219"/>
      <c r="U73" s="219"/>
      <c r="V73" s="219"/>
      <c r="W73" s="219"/>
      <c r="X73" s="219"/>
      <c r="Y73" s="219"/>
      <c r="Z73" s="219"/>
      <c r="AA73" s="219"/>
      <c r="AB73" s="219"/>
      <c r="AC73" s="219"/>
      <c r="AD73" s="219"/>
      <c r="AE73" s="219"/>
      <c r="AF73" s="219"/>
      <c r="AG73" s="219"/>
      <c r="AH73" s="219"/>
      <c r="AI73" s="219"/>
      <c r="AJ73" s="219"/>
      <c r="AK73" s="220"/>
      <c r="AL73" s="93">
        <v>11</v>
      </c>
      <c r="AM73" s="355">
        <f>IncD.TotalTaxPayable+IncD.SurchargeOnTaxPayable+IncD.EducationCess</f>
        <v>6054</v>
      </c>
      <c r="AN73" s="356"/>
      <c r="AO73" s="356"/>
      <c r="AP73" s="356"/>
      <c r="AQ73" s="356"/>
      <c r="AR73" s="356"/>
      <c r="AS73" s="356"/>
      <c r="AT73" s="356"/>
      <c r="AU73" s="357"/>
      <c r="AV73" s="20"/>
      <c r="AW73" s="20"/>
      <c r="AX73" s="118"/>
      <c r="AY73" s="135"/>
      <c r="AZ73" s="135"/>
      <c r="BA73" s="135"/>
      <c r="BB73" s="135"/>
      <c r="BC73" s="135"/>
      <c r="BD73" s="135"/>
    </row>
    <row r="74" spans="1:56" s="129" customFormat="1">
      <c r="A74" s="358"/>
      <c r="B74" s="358"/>
      <c r="C74" s="233">
        <v>12</v>
      </c>
      <c r="D74" s="349" t="s">
        <v>964</v>
      </c>
      <c r="E74" s="349"/>
      <c r="F74" s="349"/>
      <c r="G74" s="349"/>
      <c r="H74" s="349"/>
      <c r="I74" s="349"/>
      <c r="J74" s="349"/>
      <c r="K74" s="349"/>
      <c r="L74" s="349"/>
      <c r="M74" s="349"/>
      <c r="N74" s="349"/>
      <c r="O74" s="349"/>
      <c r="P74" s="349"/>
      <c r="Q74" s="349"/>
      <c r="R74" s="349"/>
      <c r="S74" s="349"/>
      <c r="T74" s="349"/>
      <c r="U74" s="349"/>
      <c r="V74" s="350"/>
      <c r="W74" s="335">
        <v>12</v>
      </c>
      <c r="X74" s="335"/>
      <c r="Y74" s="335"/>
      <c r="Z74" s="359">
        <v>0</v>
      </c>
      <c r="AA74" s="360"/>
      <c r="AB74" s="360"/>
      <c r="AC74" s="360"/>
      <c r="AD74" s="360"/>
      <c r="AE74" s="360"/>
      <c r="AF74" s="360"/>
      <c r="AG74" s="360"/>
      <c r="AH74" s="360"/>
      <c r="AI74" s="360"/>
      <c r="AJ74" s="360"/>
      <c r="AK74" s="361"/>
      <c r="AL74" s="386"/>
      <c r="AM74" s="386"/>
      <c r="AN74" s="386"/>
      <c r="AO74" s="386"/>
      <c r="AP74" s="386"/>
      <c r="AQ74" s="386"/>
      <c r="AR74" s="386"/>
      <c r="AS74" s="386"/>
      <c r="AT74" s="386"/>
      <c r="AU74" s="386"/>
      <c r="AV74" s="96"/>
      <c r="AW74" s="96"/>
      <c r="AX74" s="118"/>
      <c r="AY74" s="135"/>
      <c r="AZ74" s="135"/>
      <c r="BA74" s="135"/>
      <c r="BB74" s="135"/>
      <c r="BC74" s="135"/>
      <c r="BD74" s="135"/>
    </row>
    <row r="75" spans="1:56" s="129" customFormat="1" hidden="1">
      <c r="A75" s="358"/>
      <c r="B75" s="358"/>
      <c r="C75" s="233">
        <v>13</v>
      </c>
      <c r="D75" s="349" t="s">
        <v>965</v>
      </c>
      <c r="E75" s="349"/>
      <c r="F75" s="349"/>
      <c r="G75" s="349"/>
      <c r="H75" s="349"/>
      <c r="I75" s="349"/>
      <c r="J75" s="349"/>
      <c r="K75" s="349"/>
      <c r="L75" s="349"/>
      <c r="M75" s="349"/>
      <c r="N75" s="349"/>
      <c r="O75" s="349"/>
      <c r="P75" s="349"/>
      <c r="Q75" s="349"/>
      <c r="R75" s="349"/>
      <c r="S75" s="349"/>
      <c r="T75" s="349"/>
      <c r="U75" s="349"/>
      <c r="V75" s="350"/>
      <c r="W75" s="335">
        <v>13</v>
      </c>
      <c r="X75" s="335"/>
      <c r="Y75" s="335"/>
      <c r="Z75" s="369">
        <v>0</v>
      </c>
      <c r="AA75" s="370"/>
      <c r="AB75" s="370"/>
      <c r="AC75" s="370"/>
      <c r="AD75" s="370"/>
      <c r="AE75" s="370"/>
      <c r="AF75" s="370"/>
      <c r="AG75" s="370"/>
      <c r="AH75" s="370"/>
      <c r="AI75" s="370"/>
      <c r="AJ75" s="370"/>
      <c r="AK75" s="371"/>
      <c r="AL75" s="386"/>
      <c r="AM75" s="386"/>
      <c r="AN75" s="386"/>
      <c r="AO75" s="386"/>
      <c r="AP75" s="386"/>
      <c r="AQ75" s="386"/>
      <c r="AR75" s="386"/>
      <c r="AS75" s="386"/>
      <c r="AT75" s="386"/>
      <c r="AU75" s="386"/>
      <c r="AV75" s="96"/>
      <c r="AW75" s="96"/>
      <c r="AX75" s="118"/>
      <c r="AY75" s="135"/>
      <c r="AZ75" s="135"/>
      <c r="BA75" s="135"/>
      <c r="BB75" s="135"/>
      <c r="BC75" s="135"/>
      <c r="BD75" s="135"/>
    </row>
    <row r="76" spans="1:56" s="129" customFormat="1">
      <c r="A76" s="358"/>
      <c r="B76" s="358"/>
      <c r="C76" s="233">
        <v>13</v>
      </c>
      <c r="D76" s="363" t="s">
        <v>1342</v>
      </c>
      <c r="E76" s="363"/>
      <c r="F76" s="363"/>
      <c r="G76" s="363"/>
      <c r="H76" s="363"/>
      <c r="I76" s="363"/>
      <c r="J76" s="363"/>
      <c r="K76" s="363"/>
      <c r="L76" s="363"/>
      <c r="M76" s="363"/>
      <c r="N76" s="363"/>
      <c r="O76" s="363"/>
      <c r="P76" s="363"/>
      <c r="Q76" s="363"/>
      <c r="R76" s="363"/>
      <c r="S76" s="363"/>
      <c r="T76" s="363"/>
      <c r="U76" s="372"/>
      <c r="V76" s="372"/>
      <c r="W76" s="363"/>
      <c r="X76" s="363"/>
      <c r="Y76" s="363"/>
      <c r="Z76" s="363"/>
      <c r="AA76" s="363"/>
      <c r="AB76" s="363"/>
      <c r="AC76" s="363"/>
      <c r="AD76" s="363"/>
      <c r="AE76" s="363"/>
      <c r="AF76" s="363"/>
      <c r="AG76" s="363"/>
      <c r="AH76" s="363"/>
      <c r="AI76" s="363"/>
      <c r="AJ76" s="363"/>
      <c r="AK76" s="364"/>
      <c r="AL76" s="93">
        <v>12</v>
      </c>
      <c r="AM76" s="355">
        <f>MAX(0,IncD.GrossTaxLiability-IncD.Section89-IncD.Section90and91)</f>
        <v>6054</v>
      </c>
      <c r="AN76" s="356"/>
      <c r="AO76" s="356"/>
      <c r="AP76" s="356"/>
      <c r="AQ76" s="356"/>
      <c r="AR76" s="356"/>
      <c r="AS76" s="356"/>
      <c r="AT76" s="356"/>
      <c r="AU76" s="357"/>
      <c r="AV76" s="96"/>
      <c r="AW76" s="96"/>
      <c r="AX76" s="118"/>
      <c r="AY76" s="135"/>
      <c r="AZ76" s="135"/>
      <c r="BA76" s="135"/>
      <c r="BB76" s="135"/>
      <c r="BC76" s="135"/>
      <c r="BD76" s="135"/>
    </row>
    <row r="77" spans="1:56" s="129" customFormat="1" ht="12.75" customHeight="1">
      <c r="A77" s="358"/>
      <c r="B77" s="358"/>
      <c r="C77" s="307" t="s">
        <v>958</v>
      </c>
      <c r="D77" s="375"/>
      <c r="E77" s="376"/>
      <c r="F77" s="376"/>
      <c r="G77" s="376"/>
      <c r="H77" s="376"/>
      <c r="I77" s="376"/>
      <c r="J77" s="376"/>
      <c r="K77" s="376"/>
      <c r="L77" s="376"/>
      <c r="M77" s="376"/>
      <c r="N77" s="376"/>
      <c r="O77" s="376"/>
      <c r="P77" s="376"/>
      <c r="Q77" s="376"/>
      <c r="R77" s="376"/>
      <c r="S77" s="376"/>
      <c r="T77" s="376"/>
      <c r="U77" s="381">
        <v>13</v>
      </c>
      <c r="V77" s="382"/>
      <c r="W77" s="373" t="s">
        <v>958</v>
      </c>
      <c r="X77" s="335"/>
      <c r="Y77" s="335"/>
      <c r="Z77" s="374" t="s">
        <v>118</v>
      </c>
      <c r="AA77" s="374"/>
      <c r="AB77" s="374"/>
      <c r="AC77" s="374"/>
      <c r="AD77" s="374"/>
      <c r="AE77" s="374"/>
      <c r="AF77" s="374"/>
      <c r="AG77" s="374"/>
      <c r="AH77" s="374"/>
      <c r="AI77" s="374"/>
      <c r="AJ77" s="374"/>
      <c r="AK77" s="374"/>
      <c r="AL77" s="10" t="s">
        <v>967</v>
      </c>
      <c r="AM77" s="351">
        <v>0</v>
      </c>
      <c r="AN77" s="352"/>
      <c r="AO77" s="352"/>
      <c r="AP77" s="352"/>
      <c r="AQ77" s="352"/>
      <c r="AR77" s="352"/>
      <c r="AS77" s="352"/>
      <c r="AT77" s="352"/>
      <c r="AU77" s="353"/>
      <c r="AV77" s="96"/>
      <c r="AW77" s="96"/>
      <c r="AX77" s="118"/>
      <c r="AY77" s="135"/>
      <c r="AZ77" s="135"/>
      <c r="BA77" s="135"/>
      <c r="BB77" s="135"/>
      <c r="BC77" s="135"/>
      <c r="BD77" s="135"/>
    </row>
    <row r="78" spans="1:56" s="129" customFormat="1" ht="12.75" customHeight="1">
      <c r="A78" s="358"/>
      <c r="B78" s="358"/>
      <c r="C78" s="307" t="s">
        <v>959</v>
      </c>
      <c r="D78" s="377"/>
      <c r="E78" s="378"/>
      <c r="F78" s="378"/>
      <c r="G78" s="378"/>
      <c r="H78" s="378"/>
      <c r="I78" s="378"/>
      <c r="J78" s="378"/>
      <c r="K78" s="378"/>
      <c r="L78" s="378"/>
      <c r="M78" s="378"/>
      <c r="N78" s="378"/>
      <c r="O78" s="378"/>
      <c r="P78" s="378"/>
      <c r="Q78" s="378"/>
      <c r="R78" s="378"/>
      <c r="S78" s="378"/>
      <c r="T78" s="378"/>
      <c r="U78" s="367"/>
      <c r="V78" s="368"/>
      <c r="W78" s="373" t="s">
        <v>959</v>
      </c>
      <c r="X78" s="335"/>
      <c r="Y78" s="335"/>
      <c r="Z78" s="374" t="s">
        <v>119</v>
      </c>
      <c r="AA78" s="374"/>
      <c r="AB78" s="374"/>
      <c r="AC78" s="374"/>
      <c r="AD78" s="374"/>
      <c r="AE78" s="374"/>
      <c r="AF78" s="374"/>
      <c r="AG78" s="374"/>
      <c r="AH78" s="374"/>
      <c r="AI78" s="374"/>
      <c r="AJ78" s="374"/>
      <c r="AK78" s="374"/>
      <c r="AL78" s="10" t="s">
        <v>981</v>
      </c>
      <c r="AM78" s="351">
        <v>0</v>
      </c>
      <c r="AN78" s="352"/>
      <c r="AO78" s="352"/>
      <c r="AP78" s="352"/>
      <c r="AQ78" s="352"/>
      <c r="AR78" s="352"/>
      <c r="AS78" s="352"/>
      <c r="AT78" s="352"/>
      <c r="AU78" s="353"/>
      <c r="AV78" s="96"/>
      <c r="AW78" s="96"/>
      <c r="AX78" s="118"/>
      <c r="AY78" s="135"/>
      <c r="AZ78" s="135"/>
      <c r="BA78" s="135"/>
      <c r="BB78" s="135"/>
      <c r="BC78" s="135"/>
      <c r="BD78" s="135"/>
    </row>
    <row r="79" spans="1:56" s="129" customFormat="1" ht="12.75" customHeight="1">
      <c r="A79" s="358"/>
      <c r="B79" s="358"/>
      <c r="C79" s="307" t="s">
        <v>961</v>
      </c>
      <c r="D79" s="377"/>
      <c r="E79" s="378"/>
      <c r="F79" s="378"/>
      <c r="G79" s="378"/>
      <c r="H79" s="378"/>
      <c r="I79" s="378"/>
      <c r="J79" s="378"/>
      <c r="K79" s="378"/>
      <c r="L79" s="378"/>
      <c r="M79" s="378"/>
      <c r="N79" s="378"/>
      <c r="O79" s="378"/>
      <c r="P79" s="378"/>
      <c r="Q79" s="378"/>
      <c r="R79" s="378"/>
      <c r="S79" s="378"/>
      <c r="T79" s="378"/>
      <c r="U79" s="365"/>
      <c r="V79" s="366"/>
      <c r="W79" s="373" t="s">
        <v>961</v>
      </c>
      <c r="X79" s="335"/>
      <c r="Y79" s="335"/>
      <c r="Z79" s="374" t="s">
        <v>120</v>
      </c>
      <c r="AA79" s="374"/>
      <c r="AB79" s="374"/>
      <c r="AC79" s="374"/>
      <c r="AD79" s="374"/>
      <c r="AE79" s="374"/>
      <c r="AF79" s="374"/>
      <c r="AG79" s="374"/>
      <c r="AH79" s="374"/>
      <c r="AI79" s="374"/>
      <c r="AJ79" s="374"/>
      <c r="AK79" s="374"/>
      <c r="AL79" s="10" t="s">
        <v>982</v>
      </c>
      <c r="AM79" s="351">
        <v>0</v>
      </c>
      <c r="AN79" s="352"/>
      <c r="AO79" s="352"/>
      <c r="AP79" s="352"/>
      <c r="AQ79" s="352"/>
      <c r="AR79" s="352"/>
      <c r="AS79" s="352"/>
      <c r="AT79" s="352"/>
      <c r="AU79" s="353"/>
      <c r="AV79" s="96"/>
      <c r="AW79" s="96"/>
      <c r="AX79" s="118"/>
      <c r="AY79" s="135"/>
      <c r="AZ79" s="135"/>
      <c r="BA79" s="135"/>
      <c r="BB79" s="135"/>
      <c r="BC79" s="135"/>
      <c r="BD79" s="135"/>
    </row>
    <row r="80" spans="1:56" s="129" customFormat="1" ht="12.75" customHeight="1">
      <c r="A80" s="358"/>
      <c r="B80" s="358"/>
      <c r="C80" s="233">
        <v>14</v>
      </c>
      <c r="D80" s="209" t="s">
        <v>365</v>
      </c>
      <c r="E80" s="210"/>
      <c r="F80" s="89"/>
      <c r="G80" s="89"/>
      <c r="H80" s="89"/>
      <c r="I80" s="89"/>
      <c r="J80" s="89"/>
      <c r="K80" s="89"/>
      <c r="L80" s="89"/>
      <c r="M80" s="89"/>
      <c r="N80" s="89"/>
      <c r="O80" s="89"/>
      <c r="P80" s="89"/>
      <c r="Q80" s="89"/>
      <c r="R80"/>
      <c r="S80"/>
      <c r="T80"/>
      <c r="U80"/>
      <c r="V80"/>
      <c r="W80"/>
      <c r="X80"/>
      <c r="Y80"/>
      <c r="Z80"/>
      <c r="AA80"/>
      <c r="AB80"/>
      <c r="AC80"/>
      <c r="AD80"/>
      <c r="AE80"/>
      <c r="AF80"/>
      <c r="AG80"/>
      <c r="AH80"/>
      <c r="AI80"/>
      <c r="AJ80"/>
      <c r="AK80"/>
      <c r="AL80" s="93">
        <v>14</v>
      </c>
      <c r="AM80" s="351">
        <v>0</v>
      </c>
      <c r="AN80" s="352"/>
      <c r="AO80" s="352"/>
      <c r="AP80" s="352"/>
      <c r="AQ80" s="352"/>
      <c r="AR80" s="352"/>
      <c r="AS80" s="352"/>
      <c r="AT80" s="352"/>
      <c r="AU80" s="353"/>
      <c r="AV80" s="96"/>
      <c r="AW80" s="96"/>
      <c r="AX80" s="118"/>
      <c r="AY80" s="135"/>
      <c r="AZ80" s="135"/>
      <c r="BA80" s="135"/>
      <c r="BB80" s="135"/>
      <c r="BC80" s="135"/>
      <c r="BD80" s="135"/>
    </row>
    <row r="81" spans="1:56" s="129" customFormat="1" ht="12.75" customHeight="1">
      <c r="A81" s="358"/>
      <c r="B81" s="358"/>
      <c r="C81" s="233">
        <v>15</v>
      </c>
      <c r="D81" s="209" t="s">
        <v>1327</v>
      </c>
      <c r="E81" s="89"/>
      <c r="F81" s="89"/>
      <c r="G81" s="89"/>
      <c r="H81" s="89"/>
      <c r="I81" s="89"/>
      <c r="J81" s="89"/>
      <c r="K81" s="89"/>
      <c r="L81" s="89"/>
      <c r="M81" s="89"/>
      <c r="N81" s="89"/>
      <c r="O81" s="89"/>
      <c r="P81" s="89"/>
      <c r="Q81" s="89"/>
      <c r="R81"/>
      <c r="S81"/>
      <c r="T81"/>
      <c r="U81"/>
      <c r="V81"/>
      <c r="W81"/>
      <c r="X81"/>
      <c r="Y81"/>
      <c r="Z81"/>
      <c r="AA81"/>
      <c r="AB81"/>
      <c r="AC81"/>
      <c r="AD81"/>
      <c r="AE81"/>
      <c r="AF81"/>
      <c r="AG81"/>
      <c r="AH81"/>
      <c r="AI81"/>
      <c r="AJ81"/>
      <c r="AK81"/>
      <c r="AL81" s="93">
        <v>15</v>
      </c>
      <c r="AM81" s="355">
        <f>ROUND(IncD.TotalIntrstPay+IncD.NetTaxLiability,-1)</f>
        <v>6050</v>
      </c>
      <c r="AN81" s="356"/>
      <c r="AO81" s="356"/>
      <c r="AP81" s="356"/>
      <c r="AQ81" s="356"/>
      <c r="AR81" s="356"/>
      <c r="AS81" s="356"/>
      <c r="AT81" s="356"/>
      <c r="AU81" s="357"/>
      <c r="AV81" s="96"/>
      <c r="AW81" s="96"/>
      <c r="AX81" s="118"/>
      <c r="AY81" s="135"/>
      <c r="AZ81" s="135"/>
      <c r="BA81" s="135"/>
      <c r="BB81" s="135"/>
      <c r="BC81" s="135"/>
      <c r="BD81" s="135"/>
    </row>
    <row r="82" spans="1:56" s="129" customFormat="1" ht="12" hidden="1" customHeight="1">
      <c r="A82" s="124"/>
      <c r="B82" s="96"/>
      <c r="C82" s="89"/>
      <c r="D82" s="89"/>
      <c r="E82" s="89"/>
      <c r="F82" s="89"/>
      <c r="G82" s="89"/>
      <c r="H82" s="89"/>
      <c r="I82" s="89"/>
      <c r="J82" s="89"/>
      <c r="K82" s="89"/>
      <c r="L82" s="89"/>
      <c r="M82" s="89"/>
      <c r="N82" s="89"/>
      <c r="O82" s="89"/>
      <c r="P82" s="89"/>
      <c r="Q82" s="89"/>
      <c r="R82" s="89"/>
      <c r="S82" s="89"/>
      <c r="T82" s="176"/>
      <c r="U82" s="343" t="s">
        <v>968</v>
      </c>
      <c r="V82" s="344"/>
      <c r="W82" s="344"/>
      <c r="X82" s="344"/>
      <c r="Y82" s="344"/>
      <c r="Z82" s="344"/>
      <c r="AA82" s="344"/>
      <c r="AB82" s="344"/>
      <c r="AC82" s="344"/>
      <c r="AD82" s="344"/>
      <c r="AE82" s="344"/>
      <c r="AF82" s="344"/>
      <c r="AG82" s="344"/>
      <c r="AH82" s="344"/>
      <c r="AI82" s="344"/>
      <c r="AJ82" s="344"/>
      <c r="AK82" s="344"/>
      <c r="AL82" s="383" t="s">
        <v>121</v>
      </c>
      <c r="AM82" s="383"/>
      <c r="AN82" s="383"/>
      <c r="AO82" s="383"/>
      <c r="AP82" s="383"/>
      <c r="AQ82" s="383"/>
      <c r="AR82" s="383"/>
      <c r="AS82" s="383"/>
      <c r="AT82" s="383"/>
      <c r="AU82" s="384"/>
      <c r="AV82" s="96"/>
      <c r="AW82" s="96"/>
      <c r="AX82" s="118"/>
      <c r="AY82" s="135"/>
      <c r="AZ82" s="135"/>
      <c r="BA82" s="135"/>
      <c r="BB82" s="135"/>
      <c r="BC82" s="135"/>
      <c r="BD82" s="135"/>
    </row>
    <row r="83" spans="1:56" s="129" customFormat="1" ht="12" hidden="1" customHeight="1">
      <c r="A83" s="124"/>
      <c r="B83" s="96"/>
      <c r="C83" s="89"/>
      <c r="D83" s="89"/>
      <c r="E83" s="89"/>
      <c r="F83" s="89"/>
      <c r="G83" s="89"/>
      <c r="H83" s="89"/>
      <c r="I83" s="89"/>
      <c r="J83" s="89"/>
      <c r="K83" s="89"/>
      <c r="L83" s="89"/>
      <c r="M83" s="89"/>
      <c r="N83" s="89"/>
      <c r="O83" s="89"/>
      <c r="P83" s="89"/>
      <c r="Q83" s="89"/>
      <c r="R83" s="89"/>
      <c r="S83" s="89"/>
      <c r="T83" s="176"/>
      <c r="U83" s="379" t="s">
        <v>13</v>
      </c>
      <c r="V83" s="380"/>
      <c r="W83" s="380"/>
      <c r="X83" s="380"/>
      <c r="Y83" s="380"/>
      <c r="Z83" s="380"/>
      <c r="AA83" s="380"/>
      <c r="AB83" s="380"/>
      <c r="AC83" s="380"/>
      <c r="AD83" s="380"/>
      <c r="AE83" s="380"/>
      <c r="AF83" s="380"/>
      <c r="AG83" s="380"/>
      <c r="AH83" s="380"/>
      <c r="AI83" s="380"/>
      <c r="AJ83" s="380"/>
      <c r="AK83" s="380"/>
      <c r="AL83" s="380"/>
      <c r="AM83" s="380"/>
      <c r="AN83" s="380"/>
      <c r="AO83" s="380"/>
      <c r="AP83" s="380"/>
      <c r="AQ83" s="380"/>
      <c r="AR83" s="380"/>
      <c r="AS83" s="380"/>
      <c r="AT83" s="380"/>
      <c r="AU83" s="385"/>
      <c r="AV83" s="96"/>
      <c r="AW83" s="96"/>
      <c r="AX83" s="118"/>
      <c r="AY83" s="135"/>
      <c r="AZ83" s="135"/>
      <c r="BA83" s="135"/>
      <c r="BB83" s="135"/>
      <c r="BC83" s="135"/>
      <c r="BD83" s="135"/>
    </row>
    <row r="84" spans="1:56" s="129" customFormat="1" ht="12" customHeight="1">
      <c r="A84" s="180"/>
      <c r="B84" s="177"/>
      <c r="C84" s="178"/>
      <c r="D84" s="178"/>
      <c r="E84" s="178"/>
      <c r="F84" s="178"/>
      <c r="G84" s="178"/>
      <c r="H84" s="178"/>
      <c r="I84" s="178"/>
      <c r="J84" s="178"/>
      <c r="K84" s="178"/>
      <c r="L84" s="178"/>
      <c r="M84" s="178"/>
      <c r="N84" s="178"/>
      <c r="O84" s="178"/>
      <c r="P84" s="178"/>
      <c r="Q84" s="178"/>
      <c r="R84" s="178"/>
      <c r="S84" s="178"/>
      <c r="T84" s="179"/>
      <c r="U84" s="174"/>
      <c r="V84" s="175"/>
      <c r="W84" s="175"/>
      <c r="X84" s="175"/>
      <c r="Y84" s="175"/>
      <c r="Z84" s="175"/>
      <c r="AA84" s="175"/>
      <c r="AB84" s="175"/>
      <c r="AC84" s="175"/>
      <c r="AD84" s="175"/>
      <c r="AE84" s="175"/>
      <c r="AF84" s="175"/>
      <c r="AG84" s="175"/>
      <c r="AH84" s="175"/>
      <c r="AI84" s="175"/>
      <c r="AJ84" s="175"/>
      <c r="AK84" s="175"/>
      <c r="AL84" s="175"/>
      <c r="AM84" s="175"/>
      <c r="AN84" s="175"/>
      <c r="AO84" s="175"/>
      <c r="AP84" s="175"/>
      <c r="AQ84" s="175"/>
      <c r="AR84" s="175"/>
      <c r="AS84" s="175"/>
      <c r="AT84" s="175"/>
      <c r="AU84" s="181"/>
      <c r="AV84" s="96"/>
      <c r="AW84" s="96"/>
      <c r="AX84" s="118"/>
      <c r="AY84" s="135"/>
      <c r="AZ84" s="135"/>
      <c r="BA84" s="135"/>
      <c r="BB84" s="135"/>
      <c r="BC84" s="135"/>
      <c r="BD84" s="135"/>
    </row>
    <row r="85" spans="1:56" s="129" customFormat="1" ht="9.9499999999999993" hidden="1" customHeight="1">
      <c r="A85" s="96"/>
      <c r="B85" s="96"/>
      <c r="C85" s="89"/>
      <c r="D85" s="89"/>
      <c r="E85" s="89"/>
      <c r="F85" s="89"/>
      <c r="G85" s="89"/>
      <c r="H85" s="89"/>
      <c r="I85" s="89"/>
      <c r="J85" s="89"/>
      <c r="K85" s="89"/>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96"/>
      <c r="AQ85" s="96"/>
      <c r="AR85" s="96"/>
      <c r="AS85" s="96"/>
      <c r="AT85" s="96"/>
      <c r="AU85" s="96"/>
      <c r="AV85" s="96"/>
      <c r="AW85" s="96"/>
      <c r="AX85" s="118"/>
      <c r="AY85" s="135"/>
      <c r="AZ85" s="147" t="s">
        <v>715</v>
      </c>
      <c r="BA85" s="135"/>
      <c r="BB85" s="135"/>
      <c r="BC85" s="135"/>
      <c r="BD85" s="135"/>
    </row>
    <row r="86" spans="1:56" hidden="1"/>
    <row r="87" spans="1:56" hidden="1"/>
    <row r="88" spans="1:56" hidden="1"/>
    <row r="89" spans="1:56" hidden="1"/>
    <row r="90" spans="1:56" hidden="1">
      <c r="C90" s="89" t="s">
        <v>1318</v>
      </c>
    </row>
    <row r="91" spans="1:56" hidden="1">
      <c r="C91" s="89" t="s">
        <v>1358</v>
      </c>
    </row>
    <row r="92" spans="1:56" hidden="1">
      <c r="C92" s="89" t="s">
        <v>1125</v>
      </c>
    </row>
    <row r="93" spans="1:56" hidden="1">
      <c r="C93" s="89" t="s">
        <v>1126</v>
      </c>
    </row>
    <row r="94" spans="1:56" hidden="1">
      <c r="C94" s="89" t="s">
        <v>1127</v>
      </c>
    </row>
    <row r="95" spans="1:56" hidden="1">
      <c r="C95" s="89" t="s">
        <v>1128</v>
      </c>
    </row>
    <row r="96" spans="1:56" hidden="1">
      <c r="C96" s="89" t="s">
        <v>1129</v>
      </c>
    </row>
    <row r="97" spans="3:22" hidden="1">
      <c r="C97" s="89" t="s">
        <v>1130</v>
      </c>
    </row>
    <row r="98" spans="3:22" hidden="1">
      <c r="C98" s="89" t="s">
        <v>1131</v>
      </c>
    </row>
    <row r="99" spans="3:22" hidden="1">
      <c r="C99" s="89" t="s">
        <v>1132</v>
      </c>
    </row>
    <row r="100" spans="3:22" hidden="1">
      <c r="C100" s="89" t="s">
        <v>1133</v>
      </c>
    </row>
    <row r="101" spans="3:22" hidden="1">
      <c r="C101" s="89" t="s">
        <v>1134</v>
      </c>
      <c r="V101" s="89" t="s">
        <v>1318</v>
      </c>
    </row>
    <row r="102" spans="3:22" hidden="1">
      <c r="C102" s="89" t="s">
        <v>1135</v>
      </c>
      <c r="V102" s="89" t="s">
        <v>554</v>
      </c>
    </row>
    <row r="103" spans="3:22" hidden="1">
      <c r="C103" s="89" t="s">
        <v>1136</v>
      </c>
      <c r="V103" s="89" t="s">
        <v>312</v>
      </c>
    </row>
    <row r="104" spans="3:22" hidden="1">
      <c r="C104" s="89" t="s">
        <v>1137</v>
      </c>
    </row>
    <row r="105" spans="3:22" hidden="1">
      <c r="C105" s="89" t="s">
        <v>1138</v>
      </c>
    </row>
    <row r="106" spans="3:22" hidden="1">
      <c r="C106" s="89" t="s">
        <v>1139</v>
      </c>
    </row>
    <row r="107" spans="3:22" hidden="1">
      <c r="C107" s="89" t="s">
        <v>1140</v>
      </c>
    </row>
    <row r="108" spans="3:22" hidden="1">
      <c r="C108" s="89" t="s">
        <v>1141</v>
      </c>
    </row>
    <row r="109" spans="3:22" hidden="1">
      <c r="C109" s="89" t="s">
        <v>1142</v>
      </c>
    </row>
    <row r="110" spans="3:22" hidden="1">
      <c r="C110" s="89" t="s">
        <v>1143</v>
      </c>
    </row>
    <row r="111" spans="3:22" hidden="1">
      <c r="C111" s="89" t="s">
        <v>1144</v>
      </c>
    </row>
    <row r="112" spans="3:22" hidden="1">
      <c r="C112" s="89" t="s">
        <v>1145</v>
      </c>
    </row>
    <row r="113" spans="3:3" hidden="1">
      <c r="C113" s="89" t="s">
        <v>1146</v>
      </c>
    </row>
    <row r="114" spans="3:3" hidden="1">
      <c r="C114" s="89" t="s">
        <v>1147</v>
      </c>
    </row>
    <row r="115" spans="3:3" hidden="1">
      <c r="C115" s="89" t="s">
        <v>1148</v>
      </c>
    </row>
    <row r="116" spans="3:3" hidden="1">
      <c r="C116" s="89" t="s">
        <v>1149</v>
      </c>
    </row>
    <row r="117" spans="3:3" hidden="1">
      <c r="C117" s="89" t="s">
        <v>1150</v>
      </c>
    </row>
    <row r="118" spans="3:3" hidden="1">
      <c r="C118" s="89" t="s">
        <v>1151</v>
      </c>
    </row>
    <row r="119" spans="3:3" hidden="1">
      <c r="C119" s="89" t="s">
        <v>1152</v>
      </c>
    </row>
    <row r="120" spans="3:3" hidden="1">
      <c r="C120" s="89" t="s">
        <v>1153</v>
      </c>
    </row>
    <row r="121" spans="3:3" hidden="1">
      <c r="C121" s="89" t="s">
        <v>1154</v>
      </c>
    </row>
    <row r="122" spans="3:3" hidden="1">
      <c r="C122" s="89" t="s">
        <v>1155</v>
      </c>
    </row>
    <row r="123" spans="3:3" hidden="1">
      <c r="C123" s="89" t="s">
        <v>1156</v>
      </c>
    </row>
    <row r="124" spans="3:3" hidden="1">
      <c r="C124" s="89" t="s">
        <v>1157</v>
      </c>
    </row>
    <row r="125" spans="3:3" hidden="1">
      <c r="C125" s="89" t="s">
        <v>1158</v>
      </c>
    </row>
    <row r="126" spans="3:3" hidden="1">
      <c r="C126" s="89" t="s">
        <v>1159</v>
      </c>
    </row>
    <row r="127" spans="3:3" hidden="1">
      <c r="C127" s="89" t="s">
        <v>1160</v>
      </c>
    </row>
    <row r="128" spans="3:3" hidden="1">
      <c r="C128" s="89" t="s">
        <v>1161</v>
      </c>
    </row>
    <row r="129" spans="3:3" hidden="1">
      <c r="C129" s="89" t="s">
        <v>1162</v>
      </c>
    </row>
    <row r="130" spans="3:3" hidden="1">
      <c r="C130" s="89" t="s">
        <v>1163</v>
      </c>
    </row>
    <row r="131" spans="3:3" hidden="1">
      <c r="C131" s="89" t="s">
        <v>1164</v>
      </c>
    </row>
    <row r="132" spans="3:3" hidden="1">
      <c r="C132" s="89" t="s">
        <v>1165</v>
      </c>
    </row>
    <row r="133" spans="3:3" hidden="1">
      <c r="C133" s="89" t="s">
        <v>1166</v>
      </c>
    </row>
    <row r="134" spans="3:3" hidden="1">
      <c r="C134" s="89" t="s">
        <v>1167</v>
      </c>
    </row>
    <row r="135" spans="3:3" hidden="1">
      <c r="C135" s="89" t="s">
        <v>1168</v>
      </c>
    </row>
    <row r="136" spans="3:3" hidden="1">
      <c r="C136" s="89" t="s">
        <v>1169</v>
      </c>
    </row>
    <row r="137" spans="3:3" hidden="1">
      <c r="C137" s="89" t="s">
        <v>1170</v>
      </c>
    </row>
    <row r="138" spans="3:3" hidden="1">
      <c r="C138" s="89" t="s">
        <v>1171</v>
      </c>
    </row>
    <row r="139" spans="3:3" hidden="1">
      <c r="C139" s="89" t="s">
        <v>1172</v>
      </c>
    </row>
    <row r="140" spans="3:3" hidden="1">
      <c r="C140" s="89" t="s">
        <v>1173</v>
      </c>
    </row>
    <row r="141" spans="3:3" hidden="1">
      <c r="C141" s="89" t="s">
        <v>1174</v>
      </c>
    </row>
    <row r="142" spans="3:3" hidden="1">
      <c r="C142" s="89" t="s">
        <v>1175</v>
      </c>
    </row>
    <row r="143" spans="3:3" hidden="1">
      <c r="C143" s="89" t="s">
        <v>1176</v>
      </c>
    </row>
    <row r="144" spans="3:3" hidden="1">
      <c r="C144" s="89" t="s">
        <v>1177</v>
      </c>
    </row>
    <row r="145" spans="3:3" hidden="1">
      <c r="C145" s="89" t="s">
        <v>1178</v>
      </c>
    </row>
    <row r="146" spans="3:3" hidden="1">
      <c r="C146" s="89" t="s">
        <v>1179</v>
      </c>
    </row>
    <row r="147" spans="3:3" hidden="1">
      <c r="C147" s="89" t="s">
        <v>1180</v>
      </c>
    </row>
    <row r="148" spans="3:3" hidden="1">
      <c r="C148" s="89" t="s">
        <v>1181</v>
      </c>
    </row>
    <row r="149" spans="3:3" hidden="1">
      <c r="C149" s="89" t="s">
        <v>1182</v>
      </c>
    </row>
    <row r="150" spans="3:3" hidden="1">
      <c r="C150" s="89" t="s">
        <v>1183</v>
      </c>
    </row>
    <row r="151" spans="3:3" hidden="1">
      <c r="C151" s="89" t="s">
        <v>1184</v>
      </c>
    </row>
    <row r="152" spans="3:3" hidden="1">
      <c r="C152" s="89" t="s">
        <v>1185</v>
      </c>
    </row>
    <row r="153" spans="3:3" hidden="1">
      <c r="C153" s="89" t="s">
        <v>1186</v>
      </c>
    </row>
    <row r="154" spans="3:3" hidden="1">
      <c r="C154" s="89" t="s">
        <v>1187</v>
      </c>
    </row>
    <row r="155" spans="3:3" hidden="1">
      <c r="C155" s="89" t="s">
        <v>1188</v>
      </c>
    </row>
    <row r="156" spans="3:3" hidden="1">
      <c r="C156" s="89" t="s">
        <v>1189</v>
      </c>
    </row>
    <row r="157" spans="3:3" hidden="1">
      <c r="C157" s="89" t="s">
        <v>1190</v>
      </c>
    </row>
    <row r="158" spans="3:3" hidden="1">
      <c r="C158" s="89" t="s">
        <v>1191</v>
      </c>
    </row>
    <row r="159" spans="3:3" hidden="1">
      <c r="C159" s="89" t="s">
        <v>1192</v>
      </c>
    </row>
    <row r="160" spans="3:3" hidden="1">
      <c r="C160" s="89" t="s">
        <v>1193</v>
      </c>
    </row>
    <row r="161" spans="3:3" hidden="1">
      <c r="C161" s="89" t="s">
        <v>1194</v>
      </c>
    </row>
    <row r="162" spans="3:3" hidden="1">
      <c r="C162" s="89" t="s">
        <v>1195</v>
      </c>
    </row>
    <row r="163" spans="3:3" hidden="1">
      <c r="C163" s="89" t="s">
        <v>1196</v>
      </c>
    </row>
    <row r="164" spans="3:3" hidden="1">
      <c r="C164" s="89" t="s">
        <v>1197</v>
      </c>
    </row>
    <row r="165" spans="3:3" hidden="1">
      <c r="C165" s="89" t="s">
        <v>1198</v>
      </c>
    </row>
    <row r="166" spans="3:3" hidden="1">
      <c r="C166" s="89" t="s">
        <v>1199</v>
      </c>
    </row>
    <row r="167" spans="3:3" hidden="1">
      <c r="C167" s="89" t="s">
        <v>1200</v>
      </c>
    </row>
    <row r="168" spans="3:3" hidden="1">
      <c r="C168" s="89" t="s">
        <v>1358</v>
      </c>
    </row>
    <row r="169" spans="3:3" hidden="1">
      <c r="C169" s="89" t="s">
        <v>1201</v>
      </c>
    </row>
    <row r="170" spans="3:3" hidden="1">
      <c r="C170" s="89" t="s">
        <v>1202</v>
      </c>
    </row>
    <row r="171" spans="3:3" hidden="1">
      <c r="C171" s="89" t="s">
        <v>1203</v>
      </c>
    </row>
    <row r="172" spans="3:3" hidden="1">
      <c r="C172" s="89" t="s">
        <v>1204</v>
      </c>
    </row>
    <row r="173" spans="3:3" hidden="1">
      <c r="C173" s="89" t="s">
        <v>1205</v>
      </c>
    </row>
    <row r="174" spans="3:3" hidden="1">
      <c r="C174" s="89" t="s">
        <v>1206</v>
      </c>
    </row>
    <row r="175" spans="3:3" hidden="1">
      <c r="C175" s="89" t="s">
        <v>1207</v>
      </c>
    </row>
    <row r="176" spans="3:3" hidden="1">
      <c r="C176" s="89" t="s">
        <v>1208</v>
      </c>
    </row>
    <row r="177" spans="3:3" hidden="1">
      <c r="C177" s="89" t="s">
        <v>1209</v>
      </c>
    </row>
    <row r="178" spans="3:3" hidden="1">
      <c r="C178" s="89" t="s">
        <v>1210</v>
      </c>
    </row>
    <row r="179" spans="3:3" hidden="1">
      <c r="C179" s="89" t="s">
        <v>1211</v>
      </c>
    </row>
    <row r="180" spans="3:3" hidden="1">
      <c r="C180" s="89" t="s">
        <v>1212</v>
      </c>
    </row>
    <row r="181" spans="3:3" hidden="1">
      <c r="C181" s="89" t="s">
        <v>1213</v>
      </c>
    </row>
    <row r="182" spans="3:3" hidden="1">
      <c r="C182" s="89" t="s">
        <v>1214</v>
      </c>
    </row>
    <row r="183" spans="3:3" hidden="1">
      <c r="C183" s="89" t="s">
        <v>1215</v>
      </c>
    </row>
    <row r="184" spans="3:3" hidden="1">
      <c r="C184" s="89" t="s">
        <v>1216</v>
      </c>
    </row>
    <row r="185" spans="3:3" hidden="1">
      <c r="C185" s="89" t="s">
        <v>1217</v>
      </c>
    </row>
    <row r="186" spans="3:3" hidden="1">
      <c r="C186" s="89" t="s">
        <v>1218</v>
      </c>
    </row>
    <row r="187" spans="3:3" hidden="1">
      <c r="C187" s="89" t="s">
        <v>1219</v>
      </c>
    </row>
    <row r="188" spans="3:3" hidden="1">
      <c r="C188" s="89" t="s">
        <v>1220</v>
      </c>
    </row>
    <row r="189" spans="3:3" hidden="1">
      <c r="C189" s="89" t="s">
        <v>1221</v>
      </c>
    </row>
    <row r="190" spans="3:3" hidden="1">
      <c r="C190" s="89" t="s">
        <v>1222</v>
      </c>
    </row>
    <row r="191" spans="3:3" hidden="1">
      <c r="C191" s="89" t="s">
        <v>1223</v>
      </c>
    </row>
    <row r="192" spans="3:3" hidden="1">
      <c r="C192" s="89" t="s">
        <v>1224</v>
      </c>
    </row>
    <row r="193" spans="3:3" hidden="1">
      <c r="C193" s="89" t="s">
        <v>1225</v>
      </c>
    </row>
    <row r="194" spans="3:3" hidden="1">
      <c r="C194" s="89" t="s">
        <v>1226</v>
      </c>
    </row>
    <row r="195" spans="3:3" hidden="1">
      <c r="C195" s="89" t="s">
        <v>1227</v>
      </c>
    </row>
    <row r="196" spans="3:3" hidden="1">
      <c r="C196" s="89" t="s">
        <v>1228</v>
      </c>
    </row>
    <row r="197" spans="3:3" hidden="1">
      <c r="C197" s="89" t="s">
        <v>1229</v>
      </c>
    </row>
    <row r="198" spans="3:3" hidden="1">
      <c r="C198" s="89" t="s">
        <v>1230</v>
      </c>
    </row>
    <row r="199" spans="3:3" hidden="1">
      <c r="C199" s="89" t="s">
        <v>1231</v>
      </c>
    </row>
    <row r="200" spans="3:3" hidden="1">
      <c r="C200" s="89" t="s">
        <v>1232</v>
      </c>
    </row>
    <row r="201" spans="3:3" hidden="1">
      <c r="C201" s="89" t="s">
        <v>1233</v>
      </c>
    </row>
    <row r="202" spans="3:3" hidden="1">
      <c r="C202" s="89" t="s">
        <v>1234</v>
      </c>
    </row>
    <row r="203" spans="3:3" hidden="1">
      <c r="C203" s="89" t="s">
        <v>1235</v>
      </c>
    </row>
    <row r="204" spans="3:3" hidden="1">
      <c r="C204" s="89" t="s">
        <v>1236</v>
      </c>
    </row>
    <row r="205" spans="3:3" hidden="1">
      <c r="C205" s="89" t="s">
        <v>1237</v>
      </c>
    </row>
    <row r="206" spans="3:3" hidden="1">
      <c r="C206" s="89" t="s">
        <v>1238</v>
      </c>
    </row>
    <row r="207" spans="3:3" hidden="1">
      <c r="C207" s="89" t="s">
        <v>1239</v>
      </c>
    </row>
    <row r="208" spans="3:3" hidden="1">
      <c r="C208" s="89" t="s">
        <v>1240</v>
      </c>
    </row>
    <row r="209" spans="3:3" hidden="1">
      <c r="C209" s="89" t="s">
        <v>1241</v>
      </c>
    </row>
    <row r="210" spans="3:3" hidden="1">
      <c r="C210" s="89" t="s">
        <v>1242</v>
      </c>
    </row>
    <row r="211" spans="3:3" hidden="1">
      <c r="C211" s="89" t="s">
        <v>1243</v>
      </c>
    </row>
    <row r="212" spans="3:3" hidden="1">
      <c r="C212" s="89" t="s">
        <v>1244</v>
      </c>
    </row>
    <row r="213" spans="3:3" hidden="1">
      <c r="C213" s="89" t="s">
        <v>1245</v>
      </c>
    </row>
    <row r="214" spans="3:3" hidden="1">
      <c r="C214" s="89" t="s">
        <v>1246</v>
      </c>
    </row>
    <row r="215" spans="3:3" hidden="1">
      <c r="C215" s="89" t="s">
        <v>1247</v>
      </c>
    </row>
    <row r="216" spans="3:3" hidden="1">
      <c r="C216" s="89" t="s">
        <v>1248</v>
      </c>
    </row>
    <row r="217" spans="3:3" hidden="1">
      <c r="C217" s="89" t="s">
        <v>1249</v>
      </c>
    </row>
    <row r="218" spans="3:3" hidden="1">
      <c r="C218" s="89" t="s">
        <v>1250</v>
      </c>
    </row>
    <row r="219" spans="3:3" hidden="1">
      <c r="C219" s="89" t="s">
        <v>1251</v>
      </c>
    </row>
    <row r="220" spans="3:3" hidden="1">
      <c r="C220" s="89" t="s">
        <v>1252</v>
      </c>
    </row>
    <row r="221" spans="3:3" hidden="1">
      <c r="C221" s="89" t="s">
        <v>1253</v>
      </c>
    </row>
    <row r="222" spans="3:3" hidden="1">
      <c r="C222" s="89" t="s">
        <v>1254</v>
      </c>
    </row>
    <row r="223" spans="3:3" hidden="1">
      <c r="C223" s="89" t="s">
        <v>1255</v>
      </c>
    </row>
    <row r="224" spans="3:3" hidden="1">
      <c r="C224" s="89" t="s">
        <v>1256</v>
      </c>
    </row>
    <row r="225" spans="3:3" hidden="1">
      <c r="C225" s="89" t="s">
        <v>1257</v>
      </c>
    </row>
    <row r="226" spans="3:3" hidden="1">
      <c r="C226" s="89" t="s">
        <v>1258</v>
      </c>
    </row>
    <row r="227" spans="3:3" hidden="1">
      <c r="C227" s="89" t="s">
        <v>1259</v>
      </c>
    </row>
    <row r="228" spans="3:3" hidden="1">
      <c r="C228" s="89" t="s">
        <v>1260</v>
      </c>
    </row>
    <row r="229" spans="3:3" hidden="1">
      <c r="C229" s="89" t="s">
        <v>1261</v>
      </c>
    </row>
    <row r="230" spans="3:3" hidden="1">
      <c r="C230" s="89" t="s">
        <v>1262</v>
      </c>
    </row>
    <row r="231" spans="3:3" hidden="1">
      <c r="C231" s="89" t="s">
        <v>1263</v>
      </c>
    </row>
    <row r="232" spans="3:3" hidden="1">
      <c r="C232" s="89" t="s">
        <v>1264</v>
      </c>
    </row>
    <row r="233" spans="3:3" hidden="1">
      <c r="C233" s="89" t="s">
        <v>1265</v>
      </c>
    </row>
    <row r="234" spans="3:3" hidden="1">
      <c r="C234" s="89" t="s">
        <v>1266</v>
      </c>
    </row>
    <row r="235" spans="3:3" hidden="1">
      <c r="C235" s="89" t="s">
        <v>1267</v>
      </c>
    </row>
    <row r="236" spans="3:3" hidden="1">
      <c r="C236" s="89" t="s">
        <v>1268</v>
      </c>
    </row>
    <row r="237" spans="3:3" hidden="1">
      <c r="C237" s="89" t="s">
        <v>1269</v>
      </c>
    </row>
    <row r="238" spans="3:3" hidden="1">
      <c r="C238" s="89" t="s">
        <v>1270</v>
      </c>
    </row>
    <row r="239" spans="3:3" hidden="1">
      <c r="C239" s="89" t="s">
        <v>1271</v>
      </c>
    </row>
    <row r="240" spans="3:3" hidden="1">
      <c r="C240" s="89" t="s">
        <v>1272</v>
      </c>
    </row>
    <row r="241" spans="3:3" hidden="1">
      <c r="C241" s="89" t="s">
        <v>1273</v>
      </c>
    </row>
    <row r="242" spans="3:3" hidden="1">
      <c r="C242" s="89" t="s">
        <v>1274</v>
      </c>
    </row>
    <row r="243" spans="3:3" hidden="1">
      <c r="C243" s="89" t="s">
        <v>1275</v>
      </c>
    </row>
    <row r="244" spans="3:3" hidden="1">
      <c r="C244" s="89" t="s">
        <v>1276</v>
      </c>
    </row>
    <row r="245" spans="3:3" hidden="1">
      <c r="C245" s="89" t="s">
        <v>1277</v>
      </c>
    </row>
    <row r="246" spans="3:3" hidden="1">
      <c r="C246" s="89" t="s">
        <v>1278</v>
      </c>
    </row>
    <row r="247" spans="3:3" hidden="1">
      <c r="C247" s="89" t="s">
        <v>1279</v>
      </c>
    </row>
    <row r="248" spans="3:3" hidden="1">
      <c r="C248" s="89" t="s">
        <v>1280</v>
      </c>
    </row>
    <row r="249" spans="3:3" hidden="1">
      <c r="C249" s="89" t="s">
        <v>1281</v>
      </c>
    </row>
    <row r="250" spans="3:3" hidden="1">
      <c r="C250" s="89" t="s">
        <v>1282</v>
      </c>
    </row>
    <row r="251" spans="3:3" hidden="1">
      <c r="C251" s="89" t="s">
        <v>1283</v>
      </c>
    </row>
    <row r="252" spans="3:3" hidden="1">
      <c r="C252" s="89" t="s">
        <v>1284</v>
      </c>
    </row>
    <row r="253" spans="3:3" hidden="1">
      <c r="C253" s="89" t="s">
        <v>1285</v>
      </c>
    </row>
    <row r="254" spans="3:3" hidden="1">
      <c r="C254" s="89" t="s">
        <v>1286</v>
      </c>
    </row>
    <row r="255" spans="3:3" hidden="1">
      <c r="C255" s="89" t="s">
        <v>1287</v>
      </c>
    </row>
    <row r="256" spans="3:3" hidden="1">
      <c r="C256" s="89" t="s">
        <v>1288</v>
      </c>
    </row>
    <row r="257" spans="3:3" hidden="1">
      <c r="C257" s="89" t="s">
        <v>1289</v>
      </c>
    </row>
    <row r="258" spans="3:3" hidden="1">
      <c r="C258" s="89" t="s">
        <v>1290</v>
      </c>
    </row>
    <row r="259" spans="3:3" hidden="1">
      <c r="C259" s="89" t="s">
        <v>1291</v>
      </c>
    </row>
    <row r="260" spans="3:3" hidden="1">
      <c r="C260" s="89" t="s">
        <v>1292</v>
      </c>
    </row>
    <row r="261" spans="3:3" hidden="1">
      <c r="C261" s="89" t="s">
        <v>1293</v>
      </c>
    </row>
    <row r="262" spans="3:3" hidden="1">
      <c r="C262" s="89" t="s">
        <v>1294</v>
      </c>
    </row>
    <row r="263" spans="3:3" hidden="1">
      <c r="C263" s="89" t="s">
        <v>1295</v>
      </c>
    </row>
    <row r="264" spans="3:3" hidden="1">
      <c r="C264" s="89" t="s">
        <v>1296</v>
      </c>
    </row>
    <row r="265" spans="3:3" hidden="1">
      <c r="C265" s="89" t="s">
        <v>1297</v>
      </c>
    </row>
    <row r="266" spans="3:3" hidden="1">
      <c r="C266" s="89" t="s">
        <v>1298</v>
      </c>
    </row>
    <row r="267" spans="3:3" hidden="1">
      <c r="C267" s="89" t="s">
        <v>1299</v>
      </c>
    </row>
    <row r="268" spans="3:3" hidden="1">
      <c r="C268" s="89" t="s">
        <v>1300</v>
      </c>
    </row>
    <row r="269" spans="3:3" hidden="1">
      <c r="C269" s="89" t="s">
        <v>1301</v>
      </c>
    </row>
    <row r="270" spans="3:3" hidden="1">
      <c r="C270" s="89" t="s">
        <v>1302</v>
      </c>
    </row>
    <row r="271" spans="3:3" hidden="1">
      <c r="C271" s="89" t="s">
        <v>1303</v>
      </c>
    </row>
    <row r="272" spans="3:3" hidden="1">
      <c r="C272" s="89" t="s">
        <v>1304</v>
      </c>
    </row>
    <row r="273" spans="3:3" hidden="1">
      <c r="C273" s="89" t="s">
        <v>1305</v>
      </c>
    </row>
    <row r="274" spans="3:3" hidden="1">
      <c r="C274" s="89" t="s">
        <v>1306</v>
      </c>
    </row>
    <row r="275" spans="3:3" hidden="1">
      <c r="C275" s="89" t="s">
        <v>1307</v>
      </c>
    </row>
    <row r="276" spans="3:3" hidden="1">
      <c r="C276" s="89" t="s">
        <v>1308</v>
      </c>
    </row>
    <row r="277" spans="3:3" hidden="1">
      <c r="C277" s="89" t="s">
        <v>1309</v>
      </c>
    </row>
    <row r="278" spans="3:3" hidden="1">
      <c r="C278" s="89" t="s">
        <v>1310</v>
      </c>
    </row>
    <row r="279" spans="3:3" hidden="1">
      <c r="C279" s="89" t="s">
        <v>1311</v>
      </c>
    </row>
    <row r="280" spans="3:3" hidden="1">
      <c r="C280" s="89" t="s">
        <v>1312</v>
      </c>
    </row>
    <row r="281" spans="3:3" hidden="1">
      <c r="C281" s="89" t="s">
        <v>1313</v>
      </c>
    </row>
    <row r="282" spans="3:3" hidden="1">
      <c r="C282" s="89" t="s">
        <v>1314</v>
      </c>
    </row>
    <row r="283" spans="3:3" hidden="1">
      <c r="C283" s="89" t="s">
        <v>1315</v>
      </c>
    </row>
    <row r="284" spans="3:3" hidden="1">
      <c r="C284" s="89" t="s">
        <v>1316</v>
      </c>
    </row>
    <row r="285" spans="3:3" hidden="1">
      <c r="C285" s="89" t="s">
        <v>1317</v>
      </c>
    </row>
  </sheetData>
  <sheetProtection password="C88E" sheet="1" objects="1" scenarios="1"/>
  <dataConsolidate/>
  <mergeCells count="247">
    <mergeCell ref="AN1:AU3"/>
    <mergeCell ref="AP23:AU23"/>
    <mergeCell ref="C28:T28"/>
    <mergeCell ref="AM31:AU31"/>
    <mergeCell ref="I3:AM3"/>
    <mergeCell ref="N1:AM1"/>
    <mergeCell ref="I1:M1"/>
    <mergeCell ref="C9:AJ9"/>
    <mergeCell ref="AQ21:AU21"/>
    <mergeCell ref="U30:AE30"/>
    <mergeCell ref="AN26:AT26"/>
    <mergeCell ref="AK14:AO14"/>
    <mergeCell ref="AK13:AO13"/>
    <mergeCell ref="AP13:AT13"/>
    <mergeCell ref="AD17:AN17"/>
    <mergeCell ref="AD18:AN18"/>
    <mergeCell ref="AS15:AU15"/>
    <mergeCell ref="AP14:AS14"/>
    <mergeCell ref="AO17:AU17"/>
    <mergeCell ref="AK19:AN19"/>
    <mergeCell ref="U28:AE28"/>
    <mergeCell ref="C24:AC24"/>
    <mergeCell ref="C31:T31"/>
    <mergeCell ref="AK20:AU20"/>
    <mergeCell ref="AN4:AV4"/>
    <mergeCell ref="U31:AE31"/>
    <mergeCell ref="AF31:AL31"/>
    <mergeCell ref="AK12:AU12"/>
    <mergeCell ref="AK16:AU16"/>
    <mergeCell ref="C13:R13"/>
    <mergeCell ref="U14:AJ14"/>
    <mergeCell ref="U5:AJ5"/>
    <mergeCell ref="M6:T6"/>
    <mergeCell ref="AK5:AU5"/>
    <mergeCell ref="U6:AJ6"/>
    <mergeCell ref="AL6:AT6"/>
    <mergeCell ref="U22:X22"/>
    <mergeCell ref="U18:AB18"/>
    <mergeCell ref="S13:T13"/>
    <mergeCell ref="Y22:AC22"/>
    <mergeCell ref="C17:T17"/>
    <mergeCell ref="U13:AJ13"/>
    <mergeCell ref="AN24:AT24"/>
    <mergeCell ref="AO18:AU18"/>
    <mergeCell ref="AK9:AU9"/>
    <mergeCell ref="AK8:AU8"/>
    <mergeCell ref="AL10:AQ10"/>
    <mergeCell ref="C10:AJ10"/>
    <mergeCell ref="U17:AC17"/>
    <mergeCell ref="AP11:AT11"/>
    <mergeCell ref="AD21:AJ21"/>
    <mergeCell ref="AK21:AN21"/>
    <mergeCell ref="A5:B22"/>
    <mergeCell ref="C2:H3"/>
    <mergeCell ref="C14:T14"/>
    <mergeCell ref="C18:T18"/>
    <mergeCell ref="A1:B4"/>
    <mergeCell ref="C1:H1"/>
    <mergeCell ref="C5:L5"/>
    <mergeCell ref="M5:T5"/>
    <mergeCell ref="C4:H4"/>
    <mergeCell ref="C6:L6"/>
    <mergeCell ref="I2:AM2"/>
    <mergeCell ref="AS19:AU19"/>
    <mergeCell ref="AL47:AT47"/>
    <mergeCell ref="AD24:AM24"/>
    <mergeCell ref="Z46:AK46"/>
    <mergeCell ref="C27:AU27"/>
    <mergeCell ref="U32:AE32"/>
    <mergeCell ref="AF42:AK42"/>
    <mergeCell ref="D42:AE42"/>
    <mergeCell ref="AQ22:AT22"/>
    <mergeCell ref="U21:X21"/>
    <mergeCell ref="AK22:AP22"/>
    <mergeCell ref="AM42:AU42"/>
    <mergeCell ref="AM41:AU41"/>
    <mergeCell ref="D41:AK41"/>
    <mergeCell ref="D40:AK40"/>
    <mergeCell ref="C25:AU25"/>
    <mergeCell ref="C32:T32"/>
    <mergeCell ref="AM28:AU28"/>
    <mergeCell ref="Y36:AU37"/>
    <mergeCell ref="D46:E46"/>
    <mergeCell ref="F46:V46"/>
    <mergeCell ref="D47:E47"/>
    <mergeCell ref="Z47:AK47"/>
    <mergeCell ref="AM43:AU43"/>
    <mergeCell ref="A23:B32"/>
    <mergeCell ref="F47:V47"/>
    <mergeCell ref="F49:V49"/>
    <mergeCell ref="W47:Y47"/>
    <mergeCell ref="W49:Y49"/>
    <mergeCell ref="F55:V55"/>
    <mergeCell ref="W53:Y53"/>
    <mergeCell ref="W50:Y50"/>
    <mergeCell ref="Z49:AK49"/>
    <mergeCell ref="Z52:AK52"/>
    <mergeCell ref="Z51:AK51"/>
    <mergeCell ref="A40:B40"/>
    <mergeCell ref="D48:E48"/>
    <mergeCell ref="C30:T30"/>
    <mergeCell ref="A41:B64"/>
    <mergeCell ref="F57:V57"/>
    <mergeCell ref="D45:AK45"/>
    <mergeCell ref="W55:Y55"/>
    <mergeCell ref="C33:X33"/>
    <mergeCell ref="D52:E52"/>
    <mergeCell ref="F52:V52"/>
    <mergeCell ref="F53:V53"/>
    <mergeCell ref="D54:E54"/>
    <mergeCell ref="D53:E53"/>
    <mergeCell ref="D55:E55"/>
    <mergeCell ref="F48:V48"/>
    <mergeCell ref="W48:Y48"/>
    <mergeCell ref="W54:Y54"/>
    <mergeCell ref="F63:V63"/>
    <mergeCell ref="AL63:AT63"/>
    <mergeCell ref="Z63:AK63"/>
    <mergeCell ref="Z57:AK57"/>
    <mergeCell ref="Z54:AK54"/>
    <mergeCell ref="Z53:AK53"/>
    <mergeCell ref="Z55:AK55"/>
    <mergeCell ref="AL49:AT49"/>
    <mergeCell ref="AL52:AT52"/>
    <mergeCell ref="AL51:AT51"/>
    <mergeCell ref="AL48:AT48"/>
    <mergeCell ref="AL50:AT50"/>
    <mergeCell ref="W52:Y52"/>
    <mergeCell ref="F54:V54"/>
    <mergeCell ref="D50:E50"/>
    <mergeCell ref="F50:V50"/>
    <mergeCell ref="D51:E51"/>
    <mergeCell ref="F51:V51"/>
    <mergeCell ref="W51:Y51"/>
    <mergeCell ref="Z48:AK48"/>
    <mergeCell ref="D56:E56"/>
    <mergeCell ref="D58:E58"/>
    <mergeCell ref="D59:E59"/>
    <mergeCell ref="W57:Y57"/>
    <mergeCell ref="W58:Y58"/>
    <mergeCell ref="W59:Y59"/>
    <mergeCell ref="D57:E57"/>
    <mergeCell ref="W56:Y56"/>
    <mergeCell ref="F56:V56"/>
    <mergeCell ref="F59:V59"/>
    <mergeCell ref="U83:AK83"/>
    <mergeCell ref="AM76:AU76"/>
    <mergeCell ref="AM77:AU77"/>
    <mergeCell ref="U77:V77"/>
    <mergeCell ref="W77:Y77"/>
    <mergeCell ref="Z77:AK77"/>
    <mergeCell ref="AM78:AU78"/>
    <mergeCell ref="AL82:AU83"/>
    <mergeCell ref="AM72:AU72"/>
    <mergeCell ref="W74:Y74"/>
    <mergeCell ref="Z74:AK74"/>
    <mergeCell ref="AL74:AU75"/>
    <mergeCell ref="W75:Y75"/>
    <mergeCell ref="U82:AK82"/>
    <mergeCell ref="U78:V78"/>
    <mergeCell ref="Z75:AK75"/>
    <mergeCell ref="D76:AK76"/>
    <mergeCell ref="W78:Y78"/>
    <mergeCell ref="W79:Y79"/>
    <mergeCell ref="Z79:AK79"/>
    <mergeCell ref="Z78:AK78"/>
    <mergeCell ref="D77:T79"/>
    <mergeCell ref="A68:B81"/>
    <mergeCell ref="AL53:AT53"/>
    <mergeCell ref="AL54:AT54"/>
    <mergeCell ref="AL55:AT55"/>
    <mergeCell ref="AL56:AT56"/>
    <mergeCell ref="AM69:AU69"/>
    <mergeCell ref="D65:AK65"/>
    <mergeCell ref="U79:V79"/>
    <mergeCell ref="AM80:AU80"/>
    <mergeCell ref="F61:V61"/>
    <mergeCell ref="AM81:AU81"/>
    <mergeCell ref="AM79:AU79"/>
    <mergeCell ref="W64:Y64"/>
    <mergeCell ref="AM67:AU67"/>
    <mergeCell ref="AM66:AU66"/>
    <mergeCell ref="AM65:AU65"/>
    <mergeCell ref="AM68:AU68"/>
    <mergeCell ref="F58:V58"/>
    <mergeCell ref="D63:E63"/>
    <mergeCell ref="Z58:AK58"/>
    <mergeCell ref="D67:AK67"/>
    <mergeCell ref="D60:E60"/>
    <mergeCell ref="F60:V60"/>
    <mergeCell ref="W60:Y60"/>
    <mergeCell ref="D61:E61"/>
    <mergeCell ref="D75:V75"/>
    <mergeCell ref="D74:V74"/>
    <mergeCell ref="W63:Y63"/>
    <mergeCell ref="AM70:AU70"/>
    <mergeCell ref="D62:E62"/>
    <mergeCell ref="F62:V62"/>
    <mergeCell ref="W62:Y62"/>
    <mergeCell ref="Z62:AK62"/>
    <mergeCell ref="AM73:AU73"/>
    <mergeCell ref="D66:AK66"/>
    <mergeCell ref="Z64:AK64"/>
    <mergeCell ref="D71:E71"/>
    <mergeCell ref="F71:V71"/>
    <mergeCell ref="W71:Y71"/>
    <mergeCell ref="Z71:AK71"/>
    <mergeCell ref="D69:E69"/>
    <mergeCell ref="D68:E68"/>
    <mergeCell ref="F69:AK69"/>
    <mergeCell ref="F68:AK68"/>
    <mergeCell ref="AM64:AU64"/>
    <mergeCell ref="D49:E49"/>
    <mergeCell ref="Y21:AC21"/>
    <mergeCell ref="C21:T21"/>
    <mergeCell ref="C26:X26"/>
    <mergeCell ref="Y26:AC26"/>
    <mergeCell ref="C23:W23"/>
    <mergeCell ref="AD22:AJ22"/>
    <mergeCell ref="AD23:AO23"/>
    <mergeCell ref="C22:T22"/>
    <mergeCell ref="AM40:AU40"/>
    <mergeCell ref="AL45:AU45"/>
    <mergeCell ref="AM44:AU44"/>
    <mergeCell ref="AL46:AT46"/>
    <mergeCell ref="D44:AK44"/>
    <mergeCell ref="D43:AK43"/>
    <mergeCell ref="C34:X39"/>
    <mergeCell ref="Y33:AG33"/>
    <mergeCell ref="Y39:AU39"/>
    <mergeCell ref="AO38:AU38"/>
    <mergeCell ref="Y38:AN38"/>
    <mergeCell ref="AL62:AT62"/>
    <mergeCell ref="AD26:AM26"/>
    <mergeCell ref="W61:Y61"/>
    <mergeCell ref="Z61:AK61"/>
    <mergeCell ref="AL61:AT61"/>
    <mergeCell ref="AL60:AT60"/>
    <mergeCell ref="Z59:AK59"/>
    <mergeCell ref="Z56:AK56"/>
    <mergeCell ref="AL57:AT57"/>
    <mergeCell ref="W46:Y46"/>
    <mergeCell ref="AF28:AL28"/>
    <mergeCell ref="Z60:AK60"/>
    <mergeCell ref="AL58:AT58"/>
    <mergeCell ref="AL59:AT59"/>
    <mergeCell ref="Z50:AK50"/>
  </mergeCells>
  <phoneticPr fontId="0" type="noConversion"/>
  <dataValidations count="68">
    <dataValidation type="list" allowBlank="1" showErrorMessage="1" errorTitle="Employer Category" error="Please select from Drop Down" sqref="AQ22:AT22">
      <formula1>sheet1.EmployerCategory</formula1>
    </dataValidation>
    <dataValidation type="whole" allowBlank="1" showErrorMessage="1" errorTitle="Section80CCD" error="Section80CCD  Non negative, no decimal, upto 99,999,999,999,999" sqref="Z48:AK49">
      <formula1>0</formula1>
      <formula2>99999999999999</formula2>
    </dataValidation>
    <dataValidation type="list" allowBlank="1" showErrorMessage="1" errorTitle="Whether original" error="Select from options whether Return is Original or Revised" sqref="AF42:AK42">
      <formula1>"(Select),Self Occupied, Let Out"</formula1>
    </dataValidation>
    <dataValidation type="list" allowBlank="1" showErrorMessage="1" errorTitle="Sex" error="Please select from Drop Down" sqref="AP14:AS14">
      <formula1>"(Select),M-Male,F-Female,X-HUF"</formula1>
    </dataValidation>
    <dataValidation type="list" allowBlank="1" showErrorMessage="1" errorTitle="Whether origina" error="  " sqref="AN26">
      <formula1>sheet1.ReturnType</formula1>
    </dataValidation>
    <dataValidation type="textLength" operator="equal" allowBlank="1" showErrorMessage="1" errorTitle="Pin code" error="Pin code  should be exactly 6 digits " sqref="AO18:AU18">
      <formula1>6</formula1>
    </dataValidation>
    <dataValidation type="list" operator="lessThanOrEqual" allowBlank="1" showErrorMessage="1" errorTitle="If revised, the" error="Receipt Date of filing of original return (DD/MM/YYYY)  must be a valid dd/mm/yyyy format" sqref="BC31:BG31 BI31:BK31">
      <formula1>"Tax Refundable,Tax Payable, Nil Tax Balance"</formula1>
    </dataValidation>
    <dataValidation type="whole" allowBlank="1" showErrorMessage="1" errorTitle="Original Ack No" error="Orig Ack No must be 15 digits" sqref="U30:AE30">
      <formula1>100000000000000</formula1>
      <formula2>999999999999999</formula2>
    </dataValidation>
    <dataValidation type="textLength" operator="lessThanOrEqual" allowBlank="1" showErrorMessage="1" errorTitle="If revised, the" error="Receipt Date of filing of original return (DD/MM/YYYY)  must be a valid dd/mm/yyyy format" sqref="AM31:AU31 AM28:AU28">
      <formula1>10</formula1>
    </dataValidation>
    <dataValidation type="whole" allowBlank="1" showErrorMessage="1" errorTitle="EducationCess" error="EducationCess  Non negative, no decimal, upto 99,999,999,999,999" sqref="AM72">
      <formula1>0</formula1>
      <formula2>99999999999999</formula2>
    </dataValidation>
    <dataValidation type="whole" allowBlank="1" showErrorMessage="1" errorTitle="TotalTaxPayable" error="TotalTaxPayable  No decimal, upto 99,999,999,999,999 " sqref="AM70">
      <formula1>0</formula1>
      <formula2>99999999999999</formula2>
    </dataValidation>
    <dataValidation type="whole" allowBlank="1" showErrorMessage="1" errorTitle="Section80C" error="Section80C  Non negative, no decimal, upto 99,999,999,999,999" sqref="Z46:AK46">
      <formula1>0</formula1>
      <formula2>99999999999999</formula2>
    </dataValidation>
    <dataValidation type="whole" allowBlank="1" showErrorMessage="1" errorTitle="Section80CCC" error="Section80CCC  Non negative, no decimal, upto 99,999,999,999,999" sqref="Z47">
      <formula1>0</formula1>
      <formula2>99999999999999</formula2>
    </dataValidation>
    <dataValidation type="whole" allowBlank="1" showErrorMessage="1" errorTitle="GrossTotIncome" error="GrossTotIncome  &#10; no decimal, upto 99,999,999,999,999" sqref="AM44:AU44">
      <formula1>-99999999999999</formula1>
      <formula2>99999999999999</formula2>
    </dataValidation>
    <dataValidation type="whole" allowBlank="1" showErrorMessage="1" errorTitle="NetAgriculturalIncome" error="NetAgriculturalIncome  Non negative, no decimal, upto 99,999,999,999,999" sqref="AM66">
      <formula1>0</formula1>
      <formula2>99999999999999</formula2>
    </dataValidation>
    <dataValidation type="whole" allowBlank="1" showErrorMessage="1" errorTitle="TaxOnAggregateInc" error="TaxOnAggregateInc  Non negative, no decimal, upto 99,999,999,999,999" sqref="AM68">
      <formula1>0</formula1>
      <formula2>99999999999999</formula2>
    </dataValidation>
    <dataValidation type="whole" allowBlank="1" showErrorMessage="1" errorTitle="RebateOnAgriInc" error="RebateOnAgriInc  Non negative, no decimal, upto 99,999,999,999,999" sqref="AM69">
      <formula1>0</formula1>
      <formula2>99999999999999</formula2>
    </dataValidation>
    <dataValidation type="whole" allowBlank="1" showErrorMessage="1" errorTitle="SurchargeOnTaxPayable" error="SurchargeOnTaxPayable  Non negative, no decimal, upto 99,999,999,999,999" sqref="Z71">
      <formula1>0</formula1>
      <formula2>99999999999999</formula2>
    </dataValidation>
    <dataValidation type="whole" allowBlank="1" showErrorMessage="1" errorTitle="GrossTaxLiability" error="GrossTaxLiability  No decimal, upto 99,999,999,999,999 " sqref="AM73:AU73">
      <formula1>0</formula1>
      <formula2>99999999999999</formula2>
    </dataValidation>
    <dataValidation type="whole" allowBlank="1" showErrorMessage="1" errorTitle="Section89" error="Section89  Non negative, no decimal, upto 99,999,999,999,999" sqref="Z74">
      <formula1>0</formula1>
      <formula2>99999999999999</formula2>
    </dataValidation>
    <dataValidation type="whole" allowBlank="1" showErrorMessage="1" errorTitle="Section90and91" error="Section90and91  Non negative, no decimal, upto 99,999,999,999,999" sqref="Z75">
      <formula1>0</formula1>
      <formula2>99999999999999</formula2>
    </dataValidation>
    <dataValidation type="whole" allowBlank="1" showErrorMessage="1" errorTitle="NetTaxLiability" error="NetTaxLiability  Non negative, no decimal, upto 99,999,999,999,999" sqref="AM76:AU76">
      <formula1>0</formula1>
      <formula2>99999999999999</formula2>
    </dataValidation>
    <dataValidation type="whole" allowBlank="1" showErrorMessage="1" errorTitle="IntrstPay" error="IntrstPay  Non negative, no decimal, upto 99,999,999,999,999" sqref="AM77">
      <formula1>0</formula1>
      <formula2>99999999999999</formula2>
    </dataValidation>
    <dataValidation type="whole" allowBlank="1" showErrorMessage="1" errorTitle="IntrstPayUs234B" error="IntrstPayUs234B  Non negative, no decimal, upto 99,999,999,999,999" sqref="AM78">
      <formula1>0</formula1>
      <formula2>99999999999999</formula2>
    </dataValidation>
    <dataValidation type="whole" allowBlank="1" showErrorMessage="1" errorTitle="IntrstPayUs234C" error="IntrstPayUs234C  Non negative, no decimal, upto 99,999,999,999,999" sqref="AM79">
      <formula1>0</formula1>
      <formula2>99999999999999</formula2>
    </dataValidation>
    <dataValidation type="whole" allowBlank="1" showErrorMessage="1" errorTitle="TotalIntrstPay" error="TotalIntrstPay  Non negative, no decimal, upto 99,999,999,999,999" sqref="AM80">
      <formula1>0</formula1>
      <formula2>99999999999999</formula2>
    </dataValidation>
    <dataValidation type="whole" allowBlank="1" showErrorMessage="1" errorTitle="TotTaxPlusIntrstPay" error="TotTaxPlusIntrstPay  Non negative, no decimal, upto 99,999,999,999,999" sqref="AM81">
      <formula1>0</formula1>
      <formula2>99999999999999</formula2>
    </dataValidation>
    <dataValidation type="whole" allowBlank="1" showErrorMessage="1" errorTitle="TotalIncome" error="TotalIncome  Non negative, no decimal, upto 99,999,999,999,999" sqref="AM67">
      <formula1>0</formula1>
      <formula2>99999999999999</formula2>
    </dataValidation>
    <dataValidation type="textLength" operator="lessThanOrEqual" allowBlank="1" showErrorMessage="1" errorTitle="Town/City/Distr" error="Town/City/District  cannot be less than 75 characters " sqref="C19:T20">
      <formula1>75</formula1>
    </dataValidation>
    <dataValidation type="textLength" operator="lessThanOrEqual" allowBlank="1" showErrorMessage="1" errorTitle="Date of Birth (" error="Date of Birth (DD/MM/YYYY)  must be a valid dd/mm/yyyy format" sqref="AK14">
      <formula1>10</formula1>
    </dataValidation>
    <dataValidation type="textLength" operator="lessThanOrEqual" allowBlank="1" showErrorMessage="1" errorTitle="First name" error="First name  cannot be less than 25 characters " sqref="C7:L8">
      <formula1>25</formula1>
    </dataValidation>
    <dataValidation type="textLength" operator="equal" allowBlank="1" showErrorMessage="1" errorTitle="PAN" error="Enter 10 digit valid PAN" sqref="AL6:AT6">
      <formula1>10</formula1>
    </dataValidation>
    <dataValidation type="textLength" operator="lessThanOrEqual" allowBlank="1" showErrorMessage="1" errorTitle="Receipt no" error="cannot be more than 15 digits" sqref="U29:AE29">
      <formula1>15</formula1>
    </dataValidation>
    <dataValidation type="list" allowBlank="1" showErrorMessage="1" errorTitle="Return filed un" error="Please select from Drop Down" sqref="AN24:AT24">
      <formula1>sheet1.ReturnFileSec</formula1>
    </dataValidation>
    <dataValidation type="textLength" operator="lessThanOrEqual" allowBlank="1" showErrorMessage="1" errorTitle="(STD code)-Phone" error="(STD code)-Phone Number  STD Code should not be more than 5 digits  (do not prefix 0 for std code) , and phone number should not be more than 10 digits" sqref="Y22:AC22">
      <formula1>5</formula1>
    </dataValidation>
    <dataValidation type="textLength" operator="lessThanOrEqual" allowBlank="1" showErrorMessage="1" errorTitle="Phone No" error="Phone number should not be more than 10 digits" sqref="AD22:AJ22">
      <formula1>10</formula1>
    </dataValidation>
    <dataValidation type="textLength" operator="lessThanOrEqual" allowBlank="1" showErrorMessage="1" errorTitle="Email Address" error="Email Address  cannot be more than 125 characters " sqref="C22 AK22 U22">
      <formula1>125</formula1>
    </dataValidation>
    <dataValidation type="list" allowBlank="1" showErrorMessage="1" errorTitle="State (Code)" error="  " sqref="V19:AB19">
      <formula1>sheet1.newstcode</formula1>
    </dataValidation>
    <dataValidation type="whole" allowBlank="1" showErrorMessage="1" errorTitle="IncomeFromSal" error="IncomeFromSal  Non negative, no decimal, upto 99,999,999,999,999" sqref="AM40:AU41">
      <formula1>0</formula1>
      <formula2>99999999999999</formula2>
    </dataValidation>
    <dataValidation type="textLength" operator="lessThanOrEqual" allowBlank="1" showErrorMessage="1" errorTitle="First name" error="First name  cannot be more than 25 characters " sqref="C6:L6">
      <formula1>25</formula1>
    </dataValidation>
    <dataValidation type="textLength" operator="lessThanOrEqual" allowBlank="1" showErrorMessage="1" errorTitle="Middle name" error="Middle name  cannot be more than 25 characters " sqref="M6:T6">
      <formula1>25</formula1>
    </dataValidation>
    <dataValidation type="textLength" operator="lessThanOrEqual" allowBlank="1" showErrorMessage="1" errorTitle="Last name" error="Last name  cannot be more than 75 characters " sqref="U6:AJ6">
      <formula1>75</formula1>
    </dataValidation>
    <dataValidation type="textLength" operator="lessThanOrEqual" allowBlank="1" showErrorMessage="1" errorTitle="Road/Street" error="Road/Street  cannot be more than 50 characters " sqref="C14:T14">
      <formula1>50</formula1>
    </dataValidation>
    <dataValidation type="textLength" operator="lessThanOrEqual" allowBlank="1" showErrorMessage="1" errorTitle="Area/locality" error="Area/locality  cannot be more than 50 characters " sqref="U14:AJ14">
      <formula1>50</formula1>
    </dataValidation>
    <dataValidation type="textLength" operator="lessThanOrEqual" allowBlank="1" showErrorMessage="1" errorTitle="Town/City/Distr" error="Town/City/District  cannot be more than 50 characters " sqref="C18:T18">
      <formula1>50</formula1>
    </dataValidation>
    <dataValidation type="textLength" operator="lessThanOrEqual" allowBlank="1" showErrorMessage="1" errorTitle="Designation AO " error="Designation of Assessing Officer (Ward/Circle)  cannot be more  than 75 characters " sqref="C24:AC24">
      <formula1>75</formula1>
    </dataValidation>
    <dataValidation type="whole" allowBlank="1" showInputMessage="1" showErrorMessage="1" errorTitle="IncomeFromOS" error="IncomeFromOS  Non negative, no decimal, upto 99,999,999,999,999" sqref="AM43:AU43">
      <formula1>-9999999999999</formula1>
      <formula2>99999999999999</formula2>
    </dataValidation>
    <dataValidation type="textLength" operator="lessThanOrEqual" allowBlank="1" showErrorMessage="1" errorTitle="Flat/Door/Building" error="Flat/Door/Building  cannot be more than 50 characters " sqref="C10:AJ10">
      <formula1>50</formula1>
    </dataValidation>
    <dataValidation type="whole" allowBlank="1" showErrorMessage="1" errorTitle="TotalIncome" error="TotalIncome  no decimal, upto 99,999,999,999,999" sqref="AM65:AU65">
      <formula1>-99999999999999</formula1>
      <formula2>99999999999999</formula2>
    </dataValidation>
    <dataValidation type="whole" allowBlank="1" showInputMessage="1" showErrorMessage="1" errorTitle="IncomeFromHP" error="IncomeFromSal  Non negative, no decimal, upto 99,999,999,999,999" promptTitle="House Property" prompt="In case of loss under the head income from house property, please enter negative sign." sqref="AM42:AU42">
      <formula1>-99999999999999</formula1>
      <formula2>99999999999999</formula2>
    </dataValidation>
    <dataValidation type="list" allowBlank="1" showInputMessage="1" showErrorMessage="1" error="Please select from Drop Down" sqref="AL10:AQ10">
      <formula1>"I - Individual,H - HUF"</formula1>
    </dataValidation>
    <dataValidation type="textLength" operator="lessThanOrEqual" allowBlank="1" showErrorMessage="1" errorTitle="Notice no" error="Notice  No cannot be more than 23 digits" sqref="U31:AE31">
      <formula1>23</formula1>
    </dataValidation>
    <dataValidation type="whole" allowBlank="1" showErrorMessage="1" errorTitle="Section80CCF" error="Section80CCF  Non negative, no decimal, upto 99,999,999,999,999" sqref="Z50:AK50">
      <formula1>0</formula1>
      <formula2>99999999999999</formula2>
    </dataValidation>
    <dataValidation type="whole" allowBlank="1" showErrorMessage="1" errorTitle="Section80D" error="Section80D  Non negative, no decimal, upto 99,999,999,999,999" sqref="Z51:AK52">
      <formula1>0</formula1>
      <formula2>99999999999999</formula2>
    </dataValidation>
    <dataValidation type="whole" allowBlank="1" showErrorMessage="1" errorTitle="Section80DD" error="Section80DD  Non negative, no decimal, upto 99,999,999,999,999" sqref="Z53:AK53">
      <formula1>0</formula1>
      <formula2>99999999999999</formula2>
    </dataValidation>
    <dataValidation type="whole" allowBlank="1" showErrorMessage="1" errorTitle="Section80DDB" error="Section80DDB Non negative, no decimal, upto 99,999,999,999,999" sqref="Z54:AK54">
      <formula1>0</formula1>
      <formula2>99999999999999</formula2>
    </dataValidation>
    <dataValidation type="whole" allowBlank="1" showErrorMessage="1" errorTitle="Section80E" error="Section80E Non negative, no decimal, upto 99,999,999,999,999" sqref="Z55:AK55">
      <formula1>0</formula1>
      <formula2>99999999999999</formula2>
    </dataValidation>
    <dataValidation type="whole" allowBlank="1" showErrorMessage="1" errorTitle="Section80G" error="Section80G  Non negative, no decimal, upto 99,999,999,999,999" sqref="Z56:AK56">
      <formula1>0</formula1>
      <formula2>99999999999999</formula2>
    </dataValidation>
    <dataValidation type="whole" allowBlank="1" showErrorMessage="1" errorTitle="Section80GG" error="Section80GG  Non negative, no decimal, upto 99,999,999,999,999" sqref="Z57:AK57">
      <formula1>0</formula1>
      <formula2>99999999999999</formula2>
    </dataValidation>
    <dataValidation type="whole" allowBlank="1" showErrorMessage="1" errorTitle="Section80GGA" error="Section80GGA  Non negative, no decimal, upto 99,999,999,999,999" sqref="Z58:AK58">
      <formula1>0</formula1>
      <formula2>99999999999999</formula2>
    </dataValidation>
    <dataValidation type="whole" allowBlank="1" showErrorMessage="1" errorTitle="Section80GGC" error="Section80GGC  Non negative, no decimal, upto 99,999,999,999,999" sqref="Z59:AK59">
      <formula1>0</formula1>
      <formula2>99999999999999</formula2>
    </dataValidation>
    <dataValidation type="whole" allowBlank="1" showErrorMessage="1" errorTitle="Section80U" error="Section80U  Non negative, no decimal, upto 99,999,999,999,999" sqref="Z60:AK63">
      <formula1>0</formula1>
      <formula2>99999999999999</formula2>
    </dataValidation>
    <dataValidation type="whole" allowBlank="1" showErrorMessage="1" errorTitle="Total" error="Total  Non negative, no decimal, upto 99,999,999,999,999" sqref="Z64:AK64">
      <formula1>0</formula1>
      <formula2>99999999999999</formula2>
    </dataValidation>
    <dataValidation type="list" allowBlank="1" showErrorMessage="1" errorTitle="State (Code)" error="Please select Valid State Code from Drop Downl List " sqref="U18:AB18">
      <formula1>sheet1.newstcode</formula1>
    </dataValidation>
    <dataValidation type="list" allowBlank="1" showErrorMessage="1" errorTitle="Residential Sta" error="Please select from Drop Down" sqref="U32:AE32">
      <formula1>sheet1.ResidentialStatus</formula1>
    </dataValidation>
    <dataValidation type="list" allowBlank="1" showErrorMessage="1" errorTitle="Country (Code)" error="Please select Valid Country Code from Drop Downl List " sqref="AD18:AN18">
      <formula1>sheet1.newcountrycode</formula1>
    </dataValidation>
    <dataValidation type="whole" allowBlank="1" showErrorMessage="1" errorTitle="Receipt no" error="Receipt No must be 15 digits" sqref="U28:AE28">
      <formula1>100000000000000</formula1>
      <formula2>999999999999999</formula2>
    </dataValidation>
    <dataValidation type="list" allowBlank="1" showInputMessage="1" showErrorMessage="1" errorTitle="Portugese Civil Code" error="Select Yes, No from Drop down list" sqref="Y26:AC26">
      <formula1>"(Select),No,Yes"</formula1>
    </dataValidation>
  </dataValidations>
  <printOptions horizontalCentered="1"/>
  <pageMargins left="5.5555555555555558E-3" right="0" top="0" bottom="0" header="0" footer="0"/>
  <pageSetup paperSize="9" orientation="portrait" blackAndWhite="1" r:id="rId1"/>
  <headerFooter alignWithMargins="0"/>
  <colBreaks count="1" manualBreakCount="1">
    <brk id="47" max="1048575" man="1"/>
  </colBreaks>
  <legacyDrawing r:id="rId2"/>
  <controls>
    <control shapeId="1241" r:id="rId3" name="cmdHelp"/>
    <control shapeId="1244" r:id="rId4" name="cmdNext"/>
    <control shapeId="1246" r:id="rId5" name="cmdValidate"/>
    <control shapeId="1247" r:id="rId6" name="cmdGenerate"/>
    <control shapeId="1305" r:id="rId7" name="cmdPrint"/>
    <control shapeId="1358" r:id="rId8" name="cmdCalculate"/>
    <control shapeId="1455" r:id="rId9" name="cmdImport"/>
    <control shapeId="1470" r:id="rId10" name="cmdPreFill"/>
  </controls>
</worksheet>
</file>

<file path=xl/worksheets/sheet2.xml><?xml version="1.0" encoding="utf-8"?>
<worksheet xmlns="http://schemas.openxmlformats.org/spreadsheetml/2006/main" xmlns:r="http://schemas.openxmlformats.org/officeDocument/2006/relationships">
  <sheetPr codeName="Sheet8"/>
  <dimension ref="A1:H37"/>
  <sheetViews>
    <sheetView workbookViewId="0"/>
  </sheetViews>
  <sheetFormatPr defaultColWidth="0" defaultRowHeight="12.75" zeroHeight="1"/>
  <cols>
    <col min="1" max="2" width="9.140625" customWidth="1"/>
    <col min="3" max="3" width="18.5703125" customWidth="1"/>
    <col min="4" max="4" width="18.42578125" customWidth="1"/>
    <col min="5" max="5" width="14.7109375" customWidth="1"/>
    <col min="6" max="7" width="9.140625" customWidth="1"/>
    <col min="8" max="8" width="10" customWidth="1"/>
  </cols>
  <sheetData>
    <row r="1" spans="1:8"/>
    <row r="2" spans="1:8" ht="30.75" customHeight="1">
      <c r="A2" s="511" t="s">
        <v>1098</v>
      </c>
      <c r="B2" s="511"/>
      <c r="C2" s="511"/>
      <c r="D2" s="511"/>
      <c r="E2" s="511"/>
      <c r="F2" s="511"/>
      <c r="G2" s="511"/>
      <c r="H2" s="511"/>
    </row>
    <row r="3" spans="1:8"/>
    <row r="4" spans="1:8">
      <c r="A4" s="297" t="s">
        <v>1099</v>
      </c>
    </row>
    <row r="5" spans="1:8" ht="54.75" customHeight="1">
      <c r="A5" s="298" t="s">
        <v>1092</v>
      </c>
      <c r="B5" s="305" t="s">
        <v>1115</v>
      </c>
      <c r="C5" s="298" t="s">
        <v>626</v>
      </c>
      <c r="D5" s="298" t="s">
        <v>1096</v>
      </c>
    </row>
    <row r="6" spans="1:8">
      <c r="A6" s="285"/>
      <c r="B6" s="299" t="s">
        <v>1093</v>
      </c>
      <c r="C6" s="299" t="s">
        <v>1095</v>
      </c>
      <c r="D6" s="299" t="s">
        <v>1097</v>
      </c>
    </row>
    <row r="7" spans="1:8">
      <c r="A7" s="300">
        <v>1</v>
      </c>
      <c r="B7" s="301"/>
      <c r="C7" s="313"/>
      <c r="D7" s="314">
        <f>C7*B7</f>
        <v>0</v>
      </c>
    </row>
    <row r="8" spans="1:8">
      <c r="A8" s="300">
        <v>2</v>
      </c>
      <c r="B8" s="301"/>
      <c r="C8" s="313"/>
      <c r="D8" s="314">
        <f t="shared" ref="D8:D16" si="0">C8*B8</f>
        <v>0</v>
      </c>
    </row>
    <row r="9" spans="1:8">
      <c r="A9" s="300">
        <v>3</v>
      </c>
      <c r="B9" s="301"/>
      <c r="C9" s="313"/>
      <c r="D9" s="314">
        <f t="shared" si="0"/>
        <v>0</v>
      </c>
    </row>
    <row r="10" spans="1:8">
      <c r="A10" s="300">
        <v>4</v>
      </c>
      <c r="B10" s="301"/>
      <c r="C10" s="313"/>
      <c r="D10" s="314">
        <f t="shared" si="0"/>
        <v>0</v>
      </c>
    </row>
    <row r="11" spans="1:8">
      <c r="A11" s="300">
        <v>5</v>
      </c>
      <c r="B11" s="301"/>
      <c r="C11" s="313"/>
      <c r="D11" s="314">
        <f t="shared" si="0"/>
        <v>0</v>
      </c>
    </row>
    <row r="12" spans="1:8">
      <c r="A12" s="300">
        <v>6</v>
      </c>
      <c r="B12" s="301"/>
      <c r="C12" s="313"/>
      <c r="D12" s="314">
        <f t="shared" si="0"/>
        <v>0</v>
      </c>
    </row>
    <row r="13" spans="1:8">
      <c r="A13" s="300">
        <v>7</v>
      </c>
      <c r="B13" s="301"/>
      <c r="C13" s="313"/>
      <c r="D13" s="314">
        <f t="shared" si="0"/>
        <v>0</v>
      </c>
    </row>
    <row r="14" spans="1:8">
      <c r="A14" s="300">
        <v>8</v>
      </c>
      <c r="B14" s="301"/>
      <c r="C14" s="313"/>
      <c r="D14" s="314">
        <f t="shared" si="0"/>
        <v>0</v>
      </c>
    </row>
    <row r="15" spans="1:8">
      <c r="A15" s="300">
        <v>9</v>
      </c>
      <c r="B15" s="301"/>
      <c r="C15" s="313"/>
      <c r="D15" s="314">
        <f t="shared" si="0"/>
        <v>0</v>
      </c>
    </row>
    <row r="16" spans="1:8">
      <c r="A16" s="300">
        <v>10</v>
      </c>
      <c r="B16" s="301"/>
      <c r="C16" s="313"/>
      <c r="D16" s="314">
        <f t="shared" si="0"/>
        <v>0</v>
      </c>
    </row>
    <row r="17" spans="1:4" ht="25.5" customHeight="1">
      <c r="A17" s="512" t="s">
        <v>1100</v>
      </c>
      <c r="B17" s="512"/>
      <c r="C17" s="512"/>
      <c r="D17" s="314">
        <f>SUM(D7:D16)</f>
        <v>0</v>
      </c>
    </row>
    <row r="18" spans="1:4"/>
    <row r="19" spans="1:4"/>
    <row r="20" spans="1:4">
      <c r="A20" s="297" t="s">
        <v>1101</v>
      </c>
    </row>
    <row r="21" spans="1:4" ht="63.75">
      <c r="A21" s="298" t="s">
        <v>1092</v>
      </c>
      <c r="B21" s="298" t="s">
        <v>1094</v>
      </c>
      <c r="C21" s="298" t="s">
        <v>627</v>
      </c>
      <c r="D21" s="298" t="s">
        <v>1096</v>
      </c>
    </row>
    <row r="22" spans="1:4">
      <c r="A22" s="285"/>
      <c r="B22" s="302" t="s">
        <v>1093</v>
      </c>
      <c r="C22" s="302" t="s">
        <v>1095</v>
      </c>
      <c r="D22" s="302" t="s">
        <v>1097</v>
      </c>
    </row>
    <row r="23" spans="1:4">
      <c r="A23" s="300">
        <v>1</v>
      </c>
      <c r="B23" s="301"/>
      <c r="C23" s="313"/>
      <c r="D23" s="314">
        <f>C23*B23</f>
        <v>0</v>
      </c>
    </row>
    <row r="24" spans="1:4">
      <c r="A24" s="300">
        <v>2</v>
      </c>
      <c r="B24" s="301"/>
      <c r="C24" s="313"/>
      <c r="D24" s="314">
        <f t="shared" ref="D24:D32" si="1">C24*B24</f>
        <v>0</v>
      </c>
    </row>
    <row r="25" spans="1:4">
      <c r="A25" s="300">
        <v>3</v>
      </c>
      <c r="B25" s="301"/>
      <c r="C25" s="313"/>
      <c r="D25" s="314">
        <f t="shared" si="1"/>
        <v>0</v>
      </c>
    </row>
    <row r="26" spans="1:4">
      <c r="A26" s="300">
        <v>4</v>
      </c>
      <c r="B26" s="301"/>
      <c r="C26" s="313"/>
      <c r="D26" s="314">
        <f t="shared" si="1"/>
        <v>0</v>
      </c>
    </row>
    <row r="27" spans="1:4">
      <c r="A27" s="300">
        <v>5</v>
      </c>
      <c r="B27" s="301"/>
      <c r="C27" s="313"/>
      <c r="D27" s="314">
        <f t="shared" si="1"/>
        <v>0</v>
      </c>
    </row>
    <row r="28" spans="1:4">
      <c r="A28" s="300">
        <v>6</v>
      </c>
      <c r="B28" s="301"/>
      <c r="C28" s="313"/>
      <c r="D28" s="314">
        <f t="shared" si="1"/>
        <v>0</v>
      </c>
    </row>
    <row r="29" spans="1:4">
      <c r="A29" s="300">
        <v>7</v>
      </c>
      <c r="B29" s="301"/>
      <c r="C29" s="313"/>
      <c r="D29" s="314">
        <f t="shared" si="1"/>
        <v>0</v>
      </c>
    </row>
    <row r="30" spans="1:4">
      <c r="A30" s="300">
        <v>8</v>
      </c>
      <c r="B30" s="301"/>
      <c r="C30" s="313"/>
      <c r="D30" s="314">
        <f t="shared" si="1"/>
        <v>0</v>
      </c>
    </row>
    <row r="31" spans="1:4">
      <c r="A31" s="300">
        <v>9</v>
      </c>
      <c r="B31" s="301"/>
      <c r="C31" s="313"/>
      <c r="D31" s="314">
        <f t="shared" si="1"/>
        <v>0</v>
      </c>
    </row>
    <row r="32" spans="1:4">
      <c r="A32" s="300">
        <v>10</v>
      </c>
      <c r="B32" s="301"/>
      <c r="C32" s="313"/>
      <c r="D32" s="314">
        <f t="shared" si="1"/>
        <v>0</v>
      </c>
    </row>
    <row r="33" spans="1:4" ht="26.25" customHeight="1">
      <c r="A33" s="512" t="s">
        <v>1102</v>
      </c>
      <c r="B33" s="512"/>
      <c r="C33" s="512"/>
      <c r="D33" s="315">
        <f>SUM(D23:D32)</f>
        <v>0</v>
      </c>
    </row>
    <row r="34" spans="1:4"/>
    <row r="35" spans="1:4">
      <c r="A35" s="510" t="s">
        <v>1103</v>
      </c>
      <c r="B35" s="510"/>
      <c r="C35" s="510"/>
      <c r="D35" s="316">
        <f>D33+D17</f>
        <v>0</v>
      </c>
    </row>
    <row r="36" spans="1:4" hidden="1">
      <c r="A36" s="510" t="s">
        <v>628</v>
      </c>
      <c r="B36" s="510"/>
      <c r="C36" s="510"/>
      <c r="D36" s="304">
        <f>SUM(B23:B32)+SUM(B7:B16)</f>
        <v>0</v>
      </c>
    </row>
    <row r="37" spans="1:4"/>
  </sheetData>
  <sheetProtection password="C88E" sheet="1" objects="1" scenarios="1"/>
  <mergeCells count="5">
    <mergeCell ref="A36:C36"/>
    <mergeCell ref="A2:H2"/>
    <mergeCell ref="A17:C17"/>
    <mergeCell ref="A33:C33"/>
    <mergeCell ref="A35:C35"/>
  </mergeCells>
  <phoneticPr fontId="13" type="noConversion"/>
  <dataValidations count="4">
    <dataValidation type="whole" allowBlank="1" showInputMessage="1" showErrorMessage="1" sqref="B23:B32 B7:B16">
      <formula1>1</formula1>
      <formula2>12</formula2>
    </dataValidation>
    <dataValidation type="whole" allowBlank="1" showInputMessage="1" showErrorMessage="1" sqref="D7:D17 D23:D33">
      <formula1>0</formula1>
      <formula2>99999999999999</formula2>
    </dataValidation>
    <dataValidation type="whole" allowBlank="1" showInputMessage="1" showErrorMessage="1" errorTitle="Heavy Vehicle 44AE" error="Numeric, non negative must not exceed 14 dgits, and must be &gt;= Rs 5000 p.m. per vehicle" sqref="C7:C16">
      <formula1>5000</formula1>
      <formula2>99999999999999</formula2>
    </dataValidation>
    <dataValidation type="whole" allowBlank="1" showInputMessage="1" showErrorMessage="1" errorTitle="Other Vehicle" error="Numeric, non negative must not exceed 14 dgits,and must be &gt;= Rs 4,500 p.m. per vehicle" sqref="C23:C32">
      <formula1>4500</formula1>
      <formula2>99999999999999</formula2>
    </dataValidation>
  </dataValidations>
  <pageMargins left="0.75" right="0.75" top="1" bottom="1" header="0.5" footer="0.5"/>
  <pageSetup orientation="portrait" r:id="rId1"/>
  <headerFooter alignWithMargins="0"/>
  <legacyDrawing r:id="rId2"/>
  <controls>
    <control shapeId="13320" r:id="rId3" name="CommandButton1"/>
    <control shapeId="13321" r:id="rId4" name="CommandButton2"/>
    <control shapeId="13322" r:id="rId5" name="CommandButton3"/>
  </controls>
</worksheet>
</file>

<file path=xl/worksheets/sheet3.xml><?xml version="1.0" encoding="utf-8"?>
<worksheet xmlns="http://schemas.openxmlformats.org/spreadsheetml/2006/main" xmlns:r="http://schemas.openxmlformats.org/officeDocument/2006/relationships">
  <sheetPr codeName="Sheet7"/>
  <dimension ref="A1:H124"/>
  <sheetViews>
    <sheetView workbookViewId="0">
      <selection activeCell="F27" sqref="F27"/>
    </sheetView>
  </sheetViews>
  <sheetFormatPr defaultColWidth="0" defaultRowHeight="12.75" zeroHeight="1"/>
  <cols>
    <col min="1" max="2" width="9.140625" customWidth="1"/>
    <col min="3" max="3" width="16.42578125" customWidth="1"/>
    <col min="4" max="5" width="9.140625" customWidth="1"/>
    <col min="6" max="6" width="15.28515625" customWidth="1"/>
    <col min="7" max="7" width="9.140625" customWidth="1"/>
    <col min="8" max="8" width="18.140625" customWidth="1"/>
    <col min="9" max="12" width="9.140625" customWidth="1"/>
  </cols>
  <sheetData>
    <row r="1" spans="1:8">
      <c r="A1" s="517" t="s">
        <v>481</v>
      </c>
      <c r="B1" s="513" t="s">
        <v>367</v>
      </c>
      <c r="C1" s="513"/>
      <c r="D1" s="513"/>
      <c r="E1" s="513"/>
      <c r="F1" s="286"/>
    </row>
    <row r="2" spans="1:8" ht="51">
      <c r="A2" s="518"/>
      <c r="B2" s="287" t="s">
        <v>368</v>
      </c>
      <c r="C2" s="288" t="s">
        <v>369</v>
      </c>
      <c r="D2" s="289" t="s">
        <v>370</v>
      </c>
      <c r="E2" s="289" t="s">
        <v>370</v>
      </c>
      <c r="F2" s="290" t="s">
        <v>370</v>
      </c>
    </row>
    <row r="3" spans="1:8" ht="25.5">
      <c r="A3" s="518"/>
      <c r="B3" s="291" t="s">
        <v>371</v>
      </c>
      <c r="C3" s="292" t="s">
        <v>407</v>
      </c>
      <c r="D3" s="321" t="s">
        <v>1368</v>
      </c>
      <c r="E3" s="317"/>
      <c r="F3" s="29"/>
    </row>
    <row r="4" spans="1:8">
      <c r="A4" s="518"/>
      <c r="B4" s="290" t="s">
        <v>372</v>
      </c>
      <c r="C4" s="292" t="s">
        <v>1318</v>
      </c>
      <c r="D4" s="29"/>
      <c r="E4" s="29"/>
      <c r="F4" s="29"/>
    </row>
    <row r="5" spans="1:8">
      <c r="A5" s="519"/>
      <c r="B5" s="290" t="s">
        <v>373</v>
      </c>
      <c r="C5" s="292" t="s">
        <v>1318</v>
      </c>
      <c r="D5" s="29"/>
      <c r="E5" s="29"/>
      <c r="F5" s="29"/>
    </row>
    <row r="6" spans="1:8"/>
    <row r="7" spans="1:8"/>
    <row r="8" spans="1:8">
      <c r="A8" s="293" t="s">
        <v>773</v>
      </c>
      <c r="B8" s="294"/>
      <c r="C8" s="515" t="s">
        <v>448</v>
      </c>
      <c r="D8" s="515"/>
      <c r="E8" s="515"/>
      <c r="F8" s="515"/>
      <c r="G8" s="515"/>
      <c r="H8" s="41"/>
    </row>
    <row r="9" spans="1:8">
      <c r="A9" s="402" t="s">
        <v>449</v>
      </c>
      <c r="B9" s="513" t="s">
        <v>450</v>
      </c>
      <c r="C9" s="513"/>
      <c r="D9" s="513"/>
      <c r="E9" s="513"/>
      <c r="F9" s="513"/>
      <c r="G9" s="285"/>
      <c r="H9" s="285"/>
    </row>
    <row r="10" spans="1:8" ht="30" customHeight="1">
      <c r="A10" s="516"/>
      <c r="B10" s="295" t="s">
        <v>451</v>
      </c>
      <c r="C10" s="513" t="s">
        <v>452</v>
      </c>
      <c r="D10" s="513"/>
      <c r="E10" s="513"/>
      <c r="F10" s="296">
        <v>3361044</v>
      </c>
      <c r="G10" s="285"/>
      <c r="H10" s="285"/>
    </row>
    <row r="11" spans="1:8" ht="29.25" customHeight="1">
      <c r="A11" s="516"/>
      <c r="B11" s="295" t="s">
        <v>453</v>
      </c>
      <c r="C11" s="513" t="s">
        <v>454</v>
      </c>
      <c r="D11" s="513"/>
      <c r="E11" s="513"/>
      <c r="F11" s="296">
        <v>268884</v>
      </c>
      <c r="G11" s="285"/>
      <c r="H11" s="285"/>
    </row>
    <row r="12" spans="1:8" ht="30" customHeight="1">
      <c r="A12" s="516"/>
      <c r="B12" s="514" t="s">
        <v>455</v>
      </c>
      <c r="C12" s="514"/>
      <c r="D12" s="514"/>
      <c r="E12" s="514"/>
      <c r="F12" s="514"/>
      <c r="G12" s="514"/>
      <c r="H12" s="514"/>
    </row>
    <row r="13" spans="1:8">
      <c r="A13" s="516"/>
      <c r="B13" s="513" t="s">
        <v>456</v>
      </c>
      <c r="C13" s="513"/>
      <c r="D13" s="513"/>
      <c r="E13" s="513"/>
      <c r="F13" s="513"/>
      <c r="G13" s="285"/>
      <c r="H13" s="285"/>
    </row>
    <row r="14" spans="1:8" ht="40.5" customHeight="1">
      <c r="A14" s="516"/>
      <c r="B14" s="295" t="s">
        <v>457</v>
      </c>
      <c r="C14" s="513" t="s">
        <v>624</v>
      </c>
      <c r="D14" s="513"/>
      <c r="E14" s="513"/>
      <c r="F14" s="303">
        <f>'44AE'!D17</f>
        <v>0</v>
      </c>
      <c r="G14" s="285"/>
      <c r="H14" s="285"/>
    </row>
    <row r="15" spans="1:8" ht="42" customHeight="1">
      <c r="A15" s="516"/>
      <c r="B15" s="295" t="s">
        <v>458</v>
      </c>
      <c r="C15" s="398" t="s">
        <v>625</v>
      </c>
      <c r="D15" s="399"/>
      <c r="E15" s="400"/>
      <c r="F15" s="303">
        <f>'44AE'!D33</f>
        <v>0</v>
      </c>
      <c r="G15" s="285"/>
      <c r="H15" s="285"/>
    </row>
    <row r="16" spans="1:8" ht="25.5" customHeight="1">
      <c r="A16" s="516"/>
      <c r="B16" s="295" t="s">
        <v>459</v>
      </c>
      <c r="C16" s="398" t="s">
        <v>460</v>
      </c>
      <c r="D16" s="399"/>
      <c r="E16" s="399"/>
      <c r="F16" s="400"/>
      <c r="G16" s="295" t="s">
        <v>459</v>
      </c>
      <c r="H16" s="303">
        <f>BP_E3+BP_E4</f>
        <v>0</v>
      </c>
    </row>
    <row r="17" spans="1:8" ht="40.5" customHeight="1">
      <c r="A17" s="516"/>
      <c r="B17" s="514" t="s">
        <v>461</v>
      </c>
      <c r="C17" s="514"/>
      <c r="D17" s="514"/>
      <c r="E17" s="514"/>
      <c r="F17" s="514"/>
      <c r="G17" s="514"/>
      <c r="H17" s="514"/>
    </row>
    <row r="18" spans="1:8" ht="14.25" customHeight="1">
      <c r="A18" s="516"/>
      <c r="B18" s="295" t="s">
        <v>462</v>
      </c>
      <c r="C18" s="513" t="s">
        <v>463</v>
      </c>
      <c r="D18" s="513"/>
      <c r="E18" s="513"/>
      <c r="F18" s="513"/>
      <c r="G18" s="295" t="s">
        <v>462</v>
      </c>
      <c r="H18" s="303">
        <f>BP_E5+BP_E2</f>
        <v>268884</v>
      </c>
    </row>
    <row r="19" spans="1:8"/>
    <row r="20" spans="1:8">
      <c r="C20" s="515" t="s">
        <v>464</v>
      </c>
      <c r="D20" s="515"/>
      <c r="E20" s="515"/>
      <c r="F20" s="515"/>
      <c r="G20" s="515"/>
      <c r="H20" s="41"/>
    </row>
    <row r="21" spans="1:8">
      <c r="A21" s="402" t="s">
        <v>465</v>
      </c>
      <c r="B21" s="513"/>
      <c r="C21" s="513"/>
      <c r="D21" s="513"/>
      <c r="E21" s="513"/>
      <c r="F21" s="513"/>
      <c r="G21" s="285"/>
      <c r="H21" s="285"/>
    </row>
    <row r="22" spans="1:8" ht="13.5">
      <c r="A22" s="404"/>
      <c r="B22" s="514" t="s">
        <v>1329</v>
      </c>
      <c r="C22" s="514"/>
      <c r="D22" s="514"/>
      <c r="E22" s="514"/>
      <c r="F22" s="514"/>
      <c r="G22" s="514"/>
      <c r="H22" s="514"/>
    </row>
    <row r="23" spans="1:8">
      <c r="A23" s="516"/>
      <c r="B23" s="295" t="s">
        <v>466</v>
      </c>
      <c r="C23" s="513" t="s">
        <v>467</v>
      </c>
      <c r="D23" s="513"/>
      <c r="E23" s="513"/>
      <c r="F23" s="296">
        <v>74539</v>
      </c>
      <c r="G23" s="285"/>
      <c r="H23" s="285"/>
    </row>
    <row r="24" spans="1:8">
      <c r="A24" s="516"/>
      <c r="B24" s="295" t="s">
        <v>468</v>
      </c>
      <c r="C24" s="513" t="s">
        <v>469</v>
      </c>
      <c r="D24" s="513"/>
      <c r="E24" s="513"/>
      <c r="F24" s="296">
        <v>0</v>
      </c>
      <c r="G24" s="285"/>
      <c r="H24" s="285"/>
    </row>
    <row r="25" spans="1:8">
      <c r="A25" s="516"/>
      <c r="B25" s="295" t="s">
        <v>470</v>
      </c>
      <c r="C25" s="513" t="s">
        <v>471</v>
      </c>
      <c r="D25" s="513"/>
      <c r="E25" s="513"/>
      <c r="F25" s="296">
        <v>118000</v>
      </c>
      <c r="G25" s="285"/>
      <c r="H25" s="285"/>
    </row>
    <row r="26" spans="1:8">
      <c r="A26" s="516"/>
      <c r="B26" s="295" t="s">
        <v>472</v>
      </c>
      <c r="C26" s="513" t="s">
        <v>473</v>
      </c>
      <c r="D26" s="513"/>
      <c r="E26" s="513"/>
      <c r="F26" s="296">
        <v>80183</v>
      </c>
      <c r="G26" s="285"/>
      <c r="H26" s="285"/>
    </row>
    <row r="27" spans="1:8"/>
    <row r="28" spans="1:8"/>
    <row r="29" spans="1:8"/>
    <row r="30" spans="1:8" hidden="1"/>
    <row r="31" spans="1:8" hidden="1"/>
    <row r="32" spans="1:8" hidden="1"/>
    <row r="33" hidden="1"/>
    <row r="34" hidden="1"/>
    <row r="35" hidden="1"/>
    <row r="36" hidden="1"/>
    <row r="37" hidden="1"/>
    <row r="38" hidden="1"/>
    <row r="39" hidden="1"/>
    <row r="40" hidden="1"/>
    <row r="41" hidden="1"/>
    <row r="42" hidden="1"/>
    <row r="43" hidden="1"/>
    <row r="44" hidden="1"/>
    <row r="45" hidden="1"/>
    <row r="46" hidden="1"/>
    <row r="47" hidden="1"/>
    <row r="48" hidden="1"/>
    <row r="49" spans="4:4" hidden="1">
      <c r="D49" t="s">
        <v>1318</v>
      </c>
    </row>
    <row r="50" spans="4:4" hidden="1">
      <c r="D50" t="s">
        <v>374</v>
      </c>
    </row>
    <row r="51" spans="4:4" hidden="1">
      <c r="D51" t="s">
        <v>375</v>
      </c>
    </row>
    <row r="52" spans="4:4" hidden="1">
      <c r="D52" t="s">
        <v>376</v>
      </c>
    </row>
    <row r="53" spans="4:4" hidden="1">
      <c r="D53" t="s">
        <v>377</v>
      </c>
    </row>
    <row r="54" spans="4:4" hidden="1">
      <c r="D54" t="s">
        <v>378</v>
      </c>
    </row>
    <row r="55" spans="4:4" hidden="1">
      <c r="D55" t="s">
        <v>379</v>
      </c>
    </row>
    <row r="56" spans="4:4" hidden="1">
      <c r="D56" t="s">
        <v>380</v>
      </c>
    </row>
    <row r="57" spans="4:4" hidden="1">
      <c r="D57" t="s">
        <v>381</v>
      </c>
    </row>
    <row r="58" spans="4:4" hidden="1">
      <c r="D58" t="s">
        <v>382</v>
      </c>
    </row>
    <row r="59" spans="4:4" hidden="1">
      <c r="D59" t="s">
        <v>383</v>
      </c>
    </row>
    <row r="60" spans="4:4" hidden="1">
      <c r="D60" t="s">
        <v>384</v>
      </c>
    </row>
    <row r="61" spans="4:4" hidden="1">
      <c r="D61" t="s">
        <v>385</v>
      </c>
    </row>
    <row r="62" spans="4:4" hidden="1">
      <c r="D62" t="s">
        <v>386</v>
      </c>
    </row>
    <row r="63" spans="4:4" hidden="1">
      <c r="D63" t="s">
        <v>387</v>
      </c>
    </row>
    <row r="64" spans="4:4" hidden="1">
      <c r="D64" t="s">
        <v>388</v>
      </c>
    </row>
    <row r="65" spans="4:4" hidden="1">
      <c r="D65" t="s">
        <v>389</v>
      </c>
    </row>
    <row r="66" spans="4:4" hidden="1">
      <c r="D66" t="s">
        <v>390</v>
      </c>
    </row>
    <row r="67" spans="4:4" hidden="1">
      <c r="D67" t="s">
        <v>391</v>
      </c>
    </row>
    <row r="68" spans="4:4" hidden="1">
      <c r="D68" t="s">
        <v>392</v>
      </c>
    </row>
    <row r="69" spans="4:4" hidden="1">
      <c r="D69" t="s">
        <v>393</v>
      </c>
    </row>
    <row r="70" spans="4:4" hidden="1">
      <c r="D70" t="s">
        <v>394</v>
      </c>
    </row>
    <row r="71" spans="4:4" hidden="1">
      <c r="D71" t="s">
        <v>395</v>
      </c>
    </row>
    <row r="72" spans="4:4" hidden="1">
      <c r="D72" t="s">
        <v>396</v>
      </c>
    </row>
    <row r="73" spans="4:4" hidden="1">
      <c r="D73" t="s">
        <v>397</v>
      </c>
    </row>
    <row r="74" spans="4:4" hidden="1">
      <c r="D74" t="s">
        <v>398</v>
      </c>
    </row>
    <row r="75" spans="4:4" hidden="1">
      <c r="D75" t="s">
        <v>399</v>
      </c>
    </row>
    <row r="76" spans="4:4" hidden="1">
      <c r="D76" t="s">
        <v>400</v>
      </c>
    </row>
    <row r="77" spans="4:4" hidden="1">
      <c r="D77" t="s">
        <v>401</v>
      </c>
    </row>
    <row r="78" spans="4:4" hidden="1">
      <c r="D78" t="s">
        <v>402</v>
      </c>
    </row>
    <row r="79" spans="4:4" hidden="1">
      <c r="D79" t="s">
        <v>403</v>
      </c>
    </row>
    <row r="80" spans="4:4" hidden="1">
      <c r="D80" t="s">
        <v>404</v>
      </c>
    </row>
    <row r="81" spans="4:4" hidden="1">
      <c r="D81" t="s">
        <v>405</v>
      </c>
    </row>
    <row r="82" spans="4:4" hidden="1">
      <c r="D82" t="s">
        <v>406</v>
      </c>
    </row>
    <row r="83" spans="4:4" hidden="1">
      <c r="D83" t="s">
        <v>407</v>
      </c>
    </row>
    <row r="84" spans="4:4" hidden="1">
      <c r="D84" t="s">
        <v>408</v>
      </c>
    </row>
    <row r="85" spans="4:4" hidden="1">
      <c r="D85" t="s">
        <v>409</v>
      </c>
    </row>
    <row r="86" spans="4:4" hidden="1">
      <c r="D86" t="s">
        <v>410</v>
      </c>
    </row>
    <row r="87" spans="4:4" hidden="1">
      <c r="D87" t="s">
        <v>411</v>
      </c>
    </row>
    <row r="88" spans="4:4" hidden="1">
      <c r="D88" t="s">
        <v>412</v>
      </c>
    </row>
    <row r="89" spans="4:4" hidden="1">
      <c r="D89" t="s">
        <v>413</v>
      </c>
    </row>
    <row r="90" spans="4:4" hidden="1">
      <c r="D90" t="s">
        <v>414</v>
      </c>
    </row>
    <row r="91" spans="4:4" hidden="1">
      <c r="D91" t="s">
        <v>415</v>
      </c>
    </row>
    <row r="92" spans="4:4" hidden="1">
      <c r="D92" t="s">
        <v>416</v>
      </c>
    </row>
    <row r="93" spans="4:4" hidden="1">
      <c r="D93" t="s">
        <v>417</v>
      </c>
    </row>
    <row r="94" spans="4:4" hidden="1">
      <c r="D94" t="s">
        <v>418</v>
      </c>
    </row>
    <row r="95" spans="4:4" hidden="1">
      <c r="D95" t="s">
        <v>419</v>
      </c>
    </row>
    <row r="96" spans="4:4" hidden="1">
      <c r="D96" t="s">
        <v>420</v>
      </c>
    </row>
    <row r="97" spans="4:4" hidden="1">
      <c r="D97" t="s">
        <v>421</v>
      </c>
    </row>
    <row r="98" spans="4:4" hidden="1">
      <c r="D98" t="s">
        <v>422</v>
      </c>
    </row>
    <row r="99" spans="4:4" hidden="1">
      <c r="D99" t="s">
        <v>423</v>
      </c>
    </row>
    <row r="100" spans="4:4" hidden="1">
      <c r="D100" t="s">
        <v>424</v>
      </c>
    </row>
    <row r="101" spans="4:4" hidden="1">
      <c r="D101" t="s">
        <v>425</v>
      </c>
    </row>
    <row r="102" spans="4:4" hidden="1">
      <c r="D102" t="s">
        <v>426</v>
      </c>
    </row>
    <row r="103" spans="4:4" hidden="1">
      <c r="D103" t="s">
        <v>427</v>
      </c>
    </row>
    <row r="104" spans="4:4" hidden="1">
      <c r="D104" t="s">
        <v>428</v>
      </c>
    </row>
    <row r="105" spans="4:4" hidden="1">
      <c r="D105" t="s">
        <v>429</v>
      </c>
    </row>
    <row r="106" spans="4:4" hidden="1">
      <c r="D106" t="s">
        <v>430</v>
      </c>
    </row>
    <row r="107" spans="4:4" hidden="1">
      <c r="D107" t="s">
        <v>431</v>
      </c>
    </row>
    <row r="108" spans="4:4" hidden="1">
      <c r="D108" t="s">
        <v>432</v>
      </c>
    </row>
    <row r="109" spans="4:4" hidden="1">
      <c r="D109" t="s">
        <v>433</v>
      </c>
    </row>
    <row r="110" spans="4:4" hidden="1">
      <c r="D110" t="s">
        <v>434</v>
      </c>
    </row>
    <row r="111" spans="4:4" hidden="1">
      <c r="D111" t="s">
        <v>435</v>
      </c>
    </row>
    <row r="112" spans="4:4" hidden="1">
      <c r="D112" t="s">
        <v>436</v>
      </c>
    </row>
    <row r="113" spans="4:4" hidden="1">
      <c r="D113" t="s">
        <v>437</v>
      </c>
    </row>
    <row r="114" spans="4:4" hidden="1">
      <c r="D114" t="s">
        <v>438</v>
      </c>
    </row>
    <row r="115" spans="4:4" hidden="1">
      <c r="D115" t="s">
        <v>439</v>
      </c>
    </row>
    <row r="116" spans="4:4" hidden="1">
      <c r="D116" t="s">
        <v>440</v>
      </c>
    </row>
    <row r="117" spans="4:4" hidden="1">
      <c r="D117" t="s">
        <v>441</v>
      </c>
    </row>
    <row r="118" spans="4:4" hidden="1">
      <c r="D118" t="s">
        <v>442</v>
      </c>
    </row>
    <row r="119" spans="4:4" hidden="1">
      <c r="D119" t="s">
        <v>443</v>
      </c>
    </row>
    <row r="120" spans="4:4" hidden="1">
      <c r="D120" t="s">
        <v>444</v>
      </c>
    </row>
    <row r="121" spans="4:4" hidden="1">
      <c r="D121" t="s">
        <v>445</v>
      </c>
    </row>
    <row r="122" spans="4:4" hidden="1">
      <c r="D122" t="s">
        <v>446</v>
      </c>
    </row>
    <row r="123" spans="4:4" hidden="1">
      <c r="D123" t="s">
        <v>447</v>
      </c>
    </row>
    <row r="124" spans="4:4" hidden="1">
      <c r="D124" t="s">
        <v>1359</v>
      </c>
    </row>
  </sheetData>
  <sheetProtection password="C88E" sheet="1" objects="1" scenarios="1"/>
  <mergeCells count="22">
    <mergeCell ref="A1:A5"/>
    <mergeCell ref="B1:E1"/>
    <mergeCell ref="C8:G8"/>
    <mergeCell ref="A9:A18"/>
    <mergeCell ref="B9:F9"/>
    <mergeCell ref="C10:E10"/>
    <mergeCell ref="A21:A26"/>
    <mergeCell ref="B21:F21"/>
    <mergeCell ref="B22:H22"/>
    <mergeCell ref="C23:E23"/>
    <mergeCell ref="C24:E24"/>
    <mergeCell ref="C25:E25"/>
    <mergeCell ref="C26:E26"/>
    <mergeCell ref="C11:E11"/>
    <mergeCell ref="B12:H12"/>
    <mergeCell ref="B13:F13"/>
    <mergeCell ref="C14:E14"/>
    <mergeCell ref="C20:G20"/>
    <mergeCell ref="C15:E15"/>
    <mergeCell ref="C16:F16"/>
    <mergeCell ref="B17:H17"/>
    <mergeCell ref="C18:F18"/>
  </mergeCells>
  <phoneticPr fontId="13" type="noConversion"/>
  <dataValidations count="6">
    <dataValidation type="list" allowBlank="1" showInputMessage="1" showErrorMessage="1" sqref="C3:C5">
      <formula1>Codes</formula1>
    </dataValidation>
    <dataValidation type="textLength" operator="lessThanOrEqual" allowBlank="1" showErrorMessage="1" errorTitle="TradeNameOrDescription" error="TradeNameOrDescription  should not exceed 75 characters " sqref="D3:F5">
      <formula1>75</formula1>
    </dataValidation>
    <dataValidation type="whole" showErrorMessage="1" error="  Non negative, no decimal, upto 99,999,999,999,999" sqref="F14">
      <formula1>0</formula1>
      <formula2>99999999999999</formula2>
    </dataValidation>
    <dataValidation type="whole" allowBlank="1" showErrorMessage="1" error="  Non negative, no decimal, upto 99,999,999,999,999" sqref="H18 H16">
      <formula1>-99999999999999</formula1>
      <formula2>99999999999999</formula2>
    </dataValidation>
    <dataValidation type="whole" allowBlank="1" showErrorMessage="1" error="  Non negative, no decimal, upto 99,999,999,999,999" sqref="F23:F26 F15 F11">
      <formula1>0</formula1>
      <formula2>99999999999999</formula2>
    </dataValidation>
    <dataValidation type="whole" allowBlank="1" showErrorMessage="1" errorTitle="Gross Receipts" error="  Non negative, no decimal, upto 100,00,000 If income is more than Rs 1 crore (Gross Receipts), it is mandatory to have a tax audit under 44AB and Regular ITR 4 form has to be filled and not this form" sqref="F10">
      <formula1>0</formula1>
      <formula2>10000000</formula2>
    </dataValidation>
  </dataValidations>
  <pageMargins left="0.75" right="0.75" top="1" bottom="1" header="0.5" footer="0.5"/>
  <pageSetup orientation="portrait" r:id="rId1"/>
  <headerFooter alignWithMargins="0"/>
  <legacyDrawing r:id="rId2"/>
  <controls>
    <control shapeId="12290" r:id="rId3" name="cmdHelp"/>
    <control shapeId="12291" r:id="rId4" name="cmdValidate"/>
    <control shapeId="12292" r:id="rId5" name="cmdPrint"/>
    <control shapeId="12293" r:id="rId6" name="cmdPrev"/>
    <control shapeId="12294" r:id="rId7" name="cmdNext"/>
  </controls>
</worksheet>
</file>

<file path=xl/worksheets/sheet4.xml><?xml version="1.0" encoding="utf-8"?>
<worksheet xmlns="http://schemas.openxmlformats.org/spreadsheetml/2006/main" xmlns:r="http://schemas.openxmlformats.org/officeDocument/2006/relationships">
  <sheetPr codeName="Sheet3"/>
  <dimension ref="A1:W87"/>
  <sheetViews>
    <sheetView showGridLines="0" workbookViewId="0">
      <selection activeCell="C23" sqref="C23"/>
    </sheetView>
  </sheetViews>
  <sheetFormatPr defaultColWidth="0" defaultRowHeight="12.75" zeroHeight="1"/>
  <cols>
    <col min="1" max="1" width="5" customWidth="1"/>
    <col min="2" max="2" width="12.28515625" customWidth="1"/>
    <col min="3" max="3" width="17.5703125" customWidth="1"/>
    <col min="4" max="4" width="10.7109375" customWidth="1"/>
    <col min="5" max="5" width="16.28515625" customWidth="1"/>
    <col min="6" max="6" width="15" customWidth="1"/>
    <col min="7" max="7" width="15.28515625" customWidth="1"/>
    <col min="8" max="8" width="7" hidden="1" customWidth="1"/>
    <col min="9" max="13" width="0" hidden="1" customWidth="1"/>
    <col min="14" max="14" width="16.140625" customWidth="1"/>
    <col min="15" max="15" width="9.140625" customWidth="1"/>
    <col min="16" max="16384" width="9.140625" hidden="1"/>
  </cols>
  <sheetData>
    <row r="1" spans="1:22" ht="26.25" customHeight="1">
      <c r="A1" s="22">
        <v>24</v>
      </c>
      <c r="B1" s="398" t="s">
        <v>169</v>
      </c>
      <c r="C1" s="399"/>
      <c r="D1" s="399"/>
      <c r="E1" s="399"/>
      <c r="F1" s="399"/>
      <c r="G1" s="43"/>
      <c r="H1" s="43"/>
      <c r="I1" s="43"/>
      <c r="J1" s="43"/>
      <c r="K1" s="43"/>
      <c r="L1" s="43"/>
      <c r="M1" s="240"/>
    </row>
    <row r="2" spans="1:22" ht="51">
      <c r="A2" s="11"/>
      <c r="B2" s="11" t="s">
        <v>922</v>
      </c>
      <c r="C2" s="87" t="s">
        <v>302</v>
      </c>
      <c r="D2" s="87" t="s">
        <v>303</v>
      </c>
      <c r="E2" s="87" t="s">
        <v>304</v>
      </c>
      <c r="F2" s="87" t="s">
        <v>305</v>
      </c>
    </row>
    <row r="3" spans="1:22" ht="89.25">
      <c r="A3" s="45"/>
      <c r="B3" s="45" t="s">
        <v>580</v>
      </c>
      <c r="C3" s="45" t="s">
        <v>1349</v>
      </c>
      <c r="D3" s="46" t="s">
        <v>581</v>
      </c>
      <c r="E3" s="46" t="s">
        <v>582</v>
      </c>
      <c r="F3" s="46" t="s">
        <v>583</v>
      </c>
      <c r="N3" s="157"/>
      <c r="U3">
        <f>SUM(TDSal.IncChrgSal)</f>
        <v>0</v>
      </c>
    </row>
    <row r="4" spans="1:22" ht="13.5" customHeight="1">
      <c r="A4" s="11"/>
      <c r="B4" s="11">
        <v>1</v>
      </c>
      <c r="C4" s="158"/>
      <c r="D4" s="29"/>
      <c r="E4" s="164"/>
      <c r="F4" s="164"/>
      <c r="U4" s="8">
        <f>SUM(TDSal.TotalTDSSal)</f>
        <v>0</v>
      </c>
    </row>
    <row r="5" spans="1:22">
      <c r="A5" s="23"/>
      <c r="B5" s="23">
        <v>2</v>
      </c>
      <c r="C5" s="158"/>
      <c r="D5" s="29"/>
      <c r="E5" s="164"/>
      <c r="F5" s="164"/>
      <c r="U5">
        <f>SUM(TDSoth.ClaimOutOfTotTDSOnAmtPaid)</f>
        <v>43030</v>
      </c>
    </row>
    <row r="6" spans="1:22">
      <c r="A6" s="23"/>
      <c r="B6" s="23">
        <v>3</v>
      </c>
      <c r="C6" s="158"/>
      <c r="D6" s="29"/>
      <c r="E6" s="164"/>
      <c r="F6" s="164"/>
      <c r="U6">
        <f>SUM(TDSoth.ClaimOutOfTotTDSOnAmtPaid)</f>
        <v>43030</v>
      </c>
    </row>
    <row r="7" spans="1:22" ht="24" customHeight="1">
      <c r="B7" s="163" t="s">
        <v>241</v>
      </c>
      <c r="C7" s="163"/>
      <c r="U7">
        <f>SUMIF(FormulaOfSAT,"=12",TaxP.Amt)</f>
        <v>0</v>
      </c>
      <c r="V7">
        <f>SUMIF(FormulaOfSAT,"=24",TaxP.Amt)</f>
        <v>0</v>
      </c>
    </row>
    <row r="8" spans="1:22" ht="26.25" customHeight="1">
      <c r="A8" s="22" t="s">
        <v>1113</v>
      </c>
      <c r="B8" s="398" t="s">
        <v>170</v>
      </c>
      <c r="C8" s="399"/>
      <c r="D8" s="399"/>
      <c r="E8" s="399"/>
      <c r="F8" s="399"/>
      <c r="G8" s="43"/>
      <c r="H8" s="43"/>
      <c r="I8" s="43"/>
      <c r="J8" s="43"/>
      <c r="K8" s="43"/>
      <c r="L8" s="240"/>
      <c r="U8">
        <f>SUMIF(FormulaOfSAT,"=11",TaxP.Amt)</f>
        <v>0</v>
      </c>
      <c r="V8">
        <f>SUMIF(FormulaOfSAT,"=23",TaxP.Amt)</f>
        <v>0</v>
      </c>
    </row>
    <row r="9" spans="1:22" ht="51">
      <c r="A9" s="11"/>
      <c r="B9" s="11" t="s">
        <v>922</v>
      </c>
      <c r="C9" s="87" t="s">
        <v>306</v>
      </c>
      <c r="D9" s="87" t="s">
        <v>307</v>
      </c>
      <c r="E9" s="247" t="s">
        <v>253</v>
      </c>
      <c r="F9" s="247" t="s">
        <v>1086</v>
      </c>
      <c r="G9" s="87" t="s">
        <v>305</v>
      </c>
      <c r="N9" s="87" t="s">
        <v>690</v>
      </c>
      <c r="U9">
        <f>SUMIF(FormulaOfSAT,"=10",TaxP.Amt)</f>
        <v>0</v>
      </c>
      <c r="V9">
        <f>SUMIF(FormulaOfSAT,"=22",TaxP.Amt)</f>
        <v>0</v>
      </c>
    </row>
    <row r="10" spans="1:22" ht="89.25">
      <c r="B10" s="45" t="s">
        <v>580</v>
      </c>
      <c r="C10" s="45" t="s">
        <v>1350</v>
      </c>
      <c r="D10" s="45" t="s">
        <v>581</v>
      </c>
      <c r="E10" s="45" t="s">
        <v>582</v>
      </c>
      <c r="F10" s="45" t="s">
        <v>583</v>
      </c>
      <c r="G10" s="45" t="s">
        <v>254</v>
      </c>
      <c r="N10" s="45" t="s">
        <v>255</v>
      </c>
      <c r="U10">
        <f>SUMIF(FormulaOfSAT,"=9",TaxP.Amt)</f>
        <v>0</v>
      </c>
      <c r="V10">
        <f>SUMIF(FormulaOfSAT,"=21",TaxP.Amt)</f>
        <v>0</v>
      </c>
    </row>
    <row r="11" spans="1:22" ht="51">
      <c r="B11" s="23">
        <v>1</v>
      </c>
      <c r="C11" s="158" t="s">
        <v>1369</v>
      </c>
      <c r="D11" s="321" t="s">
        <v>1370</v>
      </c>
      <c r="E11" s="318" t="s">
        <v>630</v>
      </c>
      <c r="F11" s="29">
        <v>2012</v>
      </c>
      <c r="G11" s="164">
        <v>1764</v>
      </c>
      <c r="N11" s="164">
        <v>1764</v>
      </c>
      <c r="U11">
        <f>SUMIF(FormulaOfSAT,"=8",TaxP.Amt)</f>
        <v>0</v>
      </c>
      <c r="V11">
        <f>SUMIF(FormulaOfSAT,"=20",TaxP.Amt)</f>
        <v>0</v>
      </c>
    </row>
    <row r="12" spans="1:22" ht="51">
      <c r="B12" s="11">
        <v>2</v>
      </c>
      <c r="C12" s="158" t="s">
        <v>1371</v>
      </c>
      <c r="D12" s="321" t="s">
        <v>1370</v>
      </c>
      <c r="E12" s="318"/>
      <c r="F12" s="29">
        <v>2012</v>
      </c>
      <c r="G12" s="164">
        <v>23653</v>
      </c>
      <c r="N12" s="164">
        <v>23653</v>
      </c>
      <c r="U12">
        <f>SUMIF(FormulaOfSAT,"=7",TaxP.Amt)</f>
        <v>0</v>
      </c>
      <c r="V12">
        <f>SUMIF(FormulaOfSAT,"=19",TaxP.Amt)</f>
        <v>0</v>
      </c>
    </row>
    <row r="13" spans="1:22" ht="51">
      <c r="B13" s="11">
        <v>3</v>
      </c>
      <c r="C13" s="158" t="s">
        <v>1372</v>
      </c>
      <c r="D13" s="321" t="s">
        <v>1370</v>
      </c>
      <c r="E13" s="318"/>
      <c r="F13" s="29">
        <v>2012</v>
      </c>
      <c r="G13" s="164">
        <v>16420</v>
      </c>
      <c r="N13" s="164">
        <v>16420</v>
      </c>
      <c r="U13">
        <f>SUMIF(FormulaOfSAT,"=6",TaxP.Amt)</f>
        <v>0</v>
      </c>
      <c r="V13">
        <f>SUMIF(FormulaOfSAT,"=18",TaxP.Amt)</f>
        <v>0</v>
      </c>
    </row>
    <row r="14" spans="1:22" ht="114.75">
      <c r="B14" s="11">
        <v>4</v>
      </c>
      <c r="C14" s="158" t="s">
        <v>1373</v>
      </c>
      <c r="D14" s="321" t="s">
        <v>1374</v>
      </c>
      <c r="E14" s="318"/>
      <c r="F14" s="29">
        <v>2012</v>
      </c>
      <c r="G14" s="164">
        <v>1193</v>
      </c>
      <c r="N14" s="164">
        <v>1193</v>
      </c>
      <c r="U14">
        <f>SUMIF(FormulaOfSAT,"=5",TaxP.Amt)</f>
        <v>0</v>
      </c>
      <c r="V14">
        <f>SUMIF(FormulaOfSAT,"=17",TaxP.Amt)</f>
        <v>0</v>
      </c>
    </row>
    <row r="15" spans="1:22" ht="24" customHeight="1">
      <c r="B15" s="163" t="s">
        <v>242</v>
      </c>
      <c r="C15" s="163"/>
      <c r="U15">
        <f>SUMIF(FormulaOfSAT,"=4",TaxP.Amt)</f>
        <v>0</v>
      </c>
      <c r="V15">
        <f>SUMIF(FormulaOfSAT,"=16",TaxP.Amt)</f>
        <v>0</v>
      </c>
    </row>
    <row r="16" spans="1:22">
      <c r="A16" s="160"/>
      <c r="B16" s="170"/>
      <c r="C16" s="170"/>
      <c r="D16" s="171"/>
      <c r="E16" s="171"/>
      <c r="F16" s="171"/>
      <c r="G16" s="171"/>
      <c r="H16" s="171"/>
      <c r="U16">
        <f>SUMIF(FormulaOfSAT,"=3",TaxP.Amt)</f>
        <v>0</v>
      </c>
      <c r="V16">
        <f>SUMIF(FormulaOfSAT,"=15",TaxP.Amt)</f>
        <v>0</v>
      </c>
    </row>
    <row r="17" spans="1:20">
      <c r="A17" s="160"/>
      <c r="B17" s="170"/>
      <c r="C17" s="170"/>
      <c r="D17" s="171"/>
      <c r="E17" s="171"/>
      <c r="F17" s="171"/>
      <c r="G17" s="171"/>
      <c r="H17" s="171"/>
    </row>
    <row r="18" spans="1:20">
      <c r="A18" s="160"/>
      <c r="B18" s="170"/>
      <c r="C18" s="170"/>
      <c r="D18" s="171"/>
      <c r="E18" s="171"/>
      <c r="F18" s="171"/>
      <c r="G18" s="171"/>
      <c r="H18" s="171"/>
    </row>
    <row r="19" spans="1:20">
      <c r="A19" s="160"/>
      <c r="B19" s="170"/>
      <c r="C19" s="170"/>
      <c r="D19" s="171"/>
      <c r="E19" s="171"/>
      <c r="F19" s="171"/>
      <c r="G19" s="171"/>
      <c r="H19" s="171"/>
    </row>
    <row r="20" spans="1:20">
      <c r="A20" s="22" t="s">
        <v>474</v>
      </c>
      <c r="B20" s="396" t="s">
        <v>475</v>
      </c>
      <c r="C20" s="522"/>
      <c r="D20" s="522"/>
      <c r="E20" s="522"/>
      <c r="F20" s="397"/>
      <c r="G20" s="171"/>
      <c r="H20" s="171"/>
    </row>
    <row r="21" spans="1:20" ht="38.25">
      <c r="A21" s="11"/>
      <c r="B21" s="11" t="s">
        <v>922</v>
      </c>
      <c r="C21" s="87" t="s">
        <v>476</v>
      </c>
      <c r="D21" s="87" t="s">
        <v>477</v>
      </c>
      <c r="E21" s="87" t="s">
        <v>478</v>
      </c>
      <c r="F21" s="87" t="s">
        <v>479</v>
      </c>
      <c r="G21" s="171"/>
      <c r="H21" s="171"/>
    </row>
    <row r="22" spans="1:20" ht="89.25">
      <c r="A22" s="78"/>
      <c r="B22" s="45" t="s">
        <v>580</v>
      </c>
      <c r="C22" s="45" t="s">
        <v>1349</v>
      </c>
      <c r="D22" s="45" t="s">
        <v>581</v>
      </c>
      <c r="E22" s="45" t="s">
        <v>582</v>
      </c>
      <c r="F22" s="45" t="s">
        <v>583</v>
      </c>
      <c r="G22" s="171"/>
      <c r="H22" s="171"/>
    </row>
    <row r="23" spans="1:20">
      <c r="A23" s="78"/>
      <c r="B23" s="23">
        <v>1</v>
      </c>
      <c r="C23" s="158"/>
      <c r="D23" s="29"/>
      <c r="E23" s="164"/>
      <c r="F23" s="164"/>
      <c r="G23" s="171"/>
      <c r="H23" s="171"/>
    </row>
    <row r="24" spans="1:20">
      <c r="A24" s="78"/>
      <c r="B24" s="11">
        <v>2</v>
      </c>
      <c r="C24" s="158"/>
      <c r="D24" s="29"/>
      <c r="E24" s="164"/>
      <c r="F24" s="164"/>
      <c r="G24" s="171"/>
      <c r="H24" s="171"/>
    </row>
    <row r="25" spans="1:20">
      <c r="A25" s="78"/>
      <c r="B25" s="11">
        <v>3</v>
      </c>
      <c r="C25" s="159"/>
      <c r="D25" s="85"/>
      <c r="E25" s="164"/>
      <c r="F25" s="164"/>
      <c r="G25" s="171"/>
      <c r="H25" s="171"/>
    </row>
    <row r="26" spans="1:20">
      <c r="A26" s="78"/>
      <c r="B26" s="11">
        <v>4</v>
      </c>
      <c r="C26" s="159"/>
      <c r="D26" s="85"/>
      <c r="E26" s="164"/>
      <c r="F26" s="164"/>
      <c r="G26" s="171"/>
      <c r="H26" s="171"/>
    </row>
    <row r="27" spans="1:20">
      <c r="A27" s="160"/>
      <c r="B27" s="178" t="s">
        <v>480</v>
      </c>
      <c r="C27" s="178"/>
      <c r="D27" s="80"/>
      <c r="E27" s="80"/>
      <c r="F27" s="82"/>
      <c r="G27" s="171"/>
      <c r="H27" s="171"/>
    </row>
    <row r="28" spans="1:20">
      <c r="A28" s="160"/>
      <c r="B28" s="170"/>
      <c r="C28" s="170"/>
      <c r="D28" s="171"/>
      <c r="E28" s="171"/>
      <c r="F28" s="171"/>
      <c r="G28" s="171"/>
      <c r="H28" s="171"/>
    </row>
    <row r="29" spans="1:20">
      <c r="A29" s="160"/>
      <c r="B29" s="170"/>
      <c r="C29" s="170"/>
      <c r="D29" s="171"/>
      <c r="E29" s="171"/>
      <c r="F29" s="171"/>
      <c r="G29" s="171"/>
      <c r="H29" s="171"/>
    </row>
    <row r="30" spans="1:20">
      <c r="A30" s="160"/>
      <c r="B30" s="170"/>
      <c r="C30" s="170"/>
      <c r="D30" s="171"/>
      <c r="E30" s="171"/>
      <c r="F30" s="171"/>
      <c r="G30" s="171"/>
      <c r="H30" s="171"/>
    </row>
    <row r="31" spans="1:20">
      <c r="A31" s="160"/>
      <c r="B31" s="170"/>
      <c r="C31" s="170"/>
      <c r="D31" s="171"/>
      <c r="E31" s="171"/>
      <c r="F31" s="171"/>
      <c r="G31" s="171"/>
      <c r="H31" s="171"/>
      <c r="T31">
        <f>SUMIF(FormulaOfQ,"=5",TaxP.Amt)</f>
        <v>0</v>
      </c>
    </row>
    <row r="32" spans="1:20">
      <c r="A32" s="160"/>
      <c r="B32" s="170"/>
      <c r="C32" s="170"/>
      <c r="D32" s="171"/>
      <c r="E32" s="171"/>
      <c r="F32" s="171"/>
      <c r="G32" s="171"/>
      <c r="H32" s="171"/>
      <c r="T32">
        <f>SUMIF(FormulaOfQ,"=4",TaxP.Amt)</f>
        <v>0</v>
      </c>
    </row>
    <row r="33" spans="1:23">
      <c r="A33" s="160"/>
      <c r="B33" s="170"/>
      <c r="C33" s="170"/>
      <c r="D33" s="171"/>
      <c r="E33" s="171"/>
      <c r="F33" s="171"/>
      <c r="G33" s="171"/>
      <c r="H33" s="171"/>
      <c r="T33">
        <f>SUMIF(FormulaOfQ,"=3",TaxP.Amt)</f>
        <v>0</v>
      </c>
    </row>
    <row r="34" spans="1:23">
      <c r="A34" s="161"/>
      <c r="B34" s="13"/>
      <c r="C34" s="13"/>
      <c r="D34" s="13"/>
      <c r="E34" s="13"/>
      <c r="F34" s="13"/>
      <c r="G34" s="13"/>
      <c r="H34" s="13"/>
      <c r="T34">
        <f>SUMIF(FormulaOfQ,"=2",TaxP.Amt)</f>
        <v>0</v>
      </c>
      <c r="U34">
        <f>SUMIF(FormulaOfSAT,"=2",TaxP.Amt)</f>
        <v>0</v>
      </c>
      <c r="V34">
        <f>SUMIF(FormulaOfSAT,"=14",TaxP.Amt)</f>
        <v>0</v>
      </c>
    </row>
    <row r="35" spans="1:23">
      <c r="A35" s="22">
        <v>25</v>
      </c>
      <c r="B35" s="396" t="s">
        <v>308</v>
      </c>
      <c r="C35" s="522"/>
      <c r="D35" s="522"/>
      <c r="E35" s="397"/>
      <c r="F35" s="171"/>
      <c r="G35" s="171"/>
      <c r="S35">
        <f>SUMIF(IT.FormulaOFS,"&lt;2",TaxP.Amt)</f>
        <v>0</v>
      </c>
      <c r="T35">
        <f>SUMIF(FormulaOfQ,"=1",TaxP.Amt)</f>
        <v>0</v>
      </c>
      <c r="U35">
        <f>SUMIF(FormulaOfSAT,"=1",TaxP.Amt)</f>
        <v>0</v>
      </c>
      <c r="V35">
        <f>SUMIF(FormulaOfSAT,"=13",TaxP.Amt)</f>
        <v>0</v>
      </c>
    </row>
    <row r="36" spans="1:23" ht="12.75" customHeight="1">
      <c r="A36" s="520" t="s">
        <v>330</v>
      </c>
      <c r="B36" s="285"/>
      <c r="C36" s="285"/>
      <c r="D36" s="241"/>
      <c r="E36" s="242"/>
      <c r="S36">
        <f>SUMIF(IT.FormulaOFS,"&gt;=2",TaxP.Amt)</f>
        <v>0</v>
      </c>
    </row>
    <row r="37" spans="1:23" ht="114.75">
      <c r="A37" s="521"/>
      <c r="B37" s="87" t="s">
        <v>1351</v>
      </c>
      <c r="C37" s="87" t="s">
        <v>1352</v>
      </c>
      <c r="D37" s="87" t="s">
        <v>1353</v>
      </c>
      <c r="E37" s="87" t="s">
        <v>1354</v>
      </c>
    </row>
    <row r="38" spans="1:23">
      <c r="A38" s="11">
        <v>1</v>
      </c>
      <c r="B38" s="204"/>
      <c r="C38" s="205"/>
      <c r="D38" s="204"/>
      <c r="E38" s="206"/>
      <c r="P38" t="e">
        <f t="shared" ref="P38:P43" si="0">VALUE(MID(C38,7,4))</f>
        <v>#VALUE!</v>
      </c>
      <c r="Q38" t="e">
        <f t="shared" ref="Q38:Q43" si="1">VALUE(MID(C38,1,2))</f>
        <v>#VALUE!</v>
      </c>
      <c r="R38" t="e">
        <f t="shared" ref="R38:R43" si="2">VALUE(MID(C38,4,2))</f>
        <v>#VALUE!</v>
      </c>
      <c r="S38" t="e">
        <f t="shared" ref="S38:S43" si="3">IF(P38&gt;2013,2,IF(P38&gt;=2013,IF(R38&gt;=4,2,1),1))</f>
        <v>#VALUE!</v>
      </c>
      <c r="T38" t="e">
        <f t="shared" ref="T38:T43" si="4">IF(S38&gt;1,6,IF(P38&lt;2013,IF((R38=6)*(Q38&gt;15),2,IF(R38&lt;7,1,IF((R38=9)*(Q38&gt;15),3,IF(R38&lt;10,2,IF((R38=12)*(Q38&gt;15),4,IF(R38&lt;13,3,4)))))),IF(R38&lt;3,4,IF(Q38&lt;16,4,5))))</f>
        <v>#VALUE!</v>
      </c>
      <c r="U38" t="e">
        <f t="shared" ref="U38:U43" si="5">IF(P38&lt;=2013,IF(S38&gt;1,IF(R38&lt;4,R38+9,R38-3),0),R38+9)</f>
        <v>#VALUE!</v>
      </c>
    </row>
    <row r="39" spans="1:23">
      <c r="A39" s="11">
        <v>2</v>
      </c>
      <c r="B39" s="204"/>
      <c r="C39" s="205"/>
      <c r="D39" s="204"/>
      <c r="E39" s="206"/>
      <c r="P39" t="e">
        <f t="shared" si="0"/>
        <v>#VALUE!</v>
      </c>
      <c r="Q39" t="e">
        <f t="shared" si="1"/>
        <v>#VALUE!</v>
      </c>
      <c r="R39" t="e">
        <f t="shared" si="2"/>
        <v>#VALUE!</v>
      </c>
      <c r="S39" t="e">
        <f t="shared" si="3"/>
        <v>#VALUE!</v>
      </c>
      <c r="T39" t="e">
        <f t="shared" si="4"/>
        <v>#VALUE!</v>
      </c>
      <c r="U39" t="e">
        <f t="shared" si="5"/>
        <v>#VALUE!</v>
      </c>
    </row>
    <row r="40" spans="1:23">
      <c r="A40" s="11">
        <v>3</v>
      </c>
      <c r="B40" s="204"/>
      <c r="C40" s="205"/>
      <c r="D40" s="204"/>
      <c r="E40" s="206"/>
      <c r="P40" t="e">
        <f t="shared" si="0"/>
        <v>#VALUE!</v>
      </c>
      <c r="Q40" t="e">
        <f t="shared" si="1"/>
        <v>#VALUE!</v>
      </c>
      <c r="R40" t="e">
        <f t="shared" si="2"/>
        <v>#VALUE!</v>
      </c>
      <c r="S40" t="e">
        <f t="shared" si="3"/>
        <v>#VALUE!</v>
      </c>
      <c r="T40" t="e">
        <f t="shared" si="4"/>
        <v>#VALUE!</v>
      </c>
      <c r="U40" t="e">
        <f t="shared" si="5"/>
        <v>#VALUE!</v>
      </c>
    </row>
    <row r="41" spans="1:23">
      <c r="A41" s="11">
        <v>4</v>
      </c>
      <c r="B41" s="48" t="s">
        <v>630</v>
      </c>
      <c r="C41" s="205"/>
      <c r="D41" s="204"/>
      <c r="E41" s="206"/>
      <c r="P41" t="e">
        <f t="shared" si="0"/>
        <v>#VALUE!</v>
      </c>
      <c r="Q41" t="e">
        <f t="shared" si="1"/>
        <v>#VALUE!</v>
      </c>
      <c r="R41" t="e">
        <f t="shared" si="2"/>
        <v>#VALUE!</v>
      </c>
      <c r="S41" t="e">
        <f t="shared" si="3"/>
        <v>#VALUE!</v>
      </c>
      <c r="T41" t="e">
        <f t="shared" si="4"/>
        <v>#VALUE!</v>
      </c>
      <c r="U41" t="e">
        <f t="shared" si="5"/>
        <v>#VALUE!</v>
      </c>
    </row>
    <row r="42" spans="1:23">
      <c r="A42" s="11">
        <v>5</v>
      </c>
      <c r="B42" s="48"/>
      <c r="C42" s="205"/>
      <c r="D42" s="204"/>
      <c r="E42" s="206"/>
      <c r="P42" t="e">
        <f t="shared" si="0"/>
        <v>#VALUE!</v>
      </c>
      <c r="Q42" t="e">
        <f t="shared" si="1"/>
        <v>#VALUE!</v>
      </c>
      <c r="R42" t="e">
        <f t="shared" si="2"/>
        <v>#VALUE!</v>
      </c>
      <c r="S42" t="e">
        <f t="shared" si="3"/>
        <v>#VALUE!</v>
      </c>
      <c r="T42" t="e">
        <f t="shared" si="4"/>
        <v>#VALUE!</v>
      </c>
      <c r="U42" t="e">
        <f t="shared" si="5"/>
        <v>#VALUE!</v>
      </c>
    </row>
    <row r="43" spans="1:23">
      <c r="A43" s="11">
        <v>6</v>
      </c>
      <c r="B43" s="48"/>
      <c r="C43" s="205"/>
      <c r="D43" s="204"/>
      <c r="E43" s="206"/>
      <c r="P43" t="e">
        <f t="shared" si="0"/>
        <v>#VALUE!</v>
      </c>
      <c r="Q43" t="e">
        <f t="shared" si="1"/>
        <v>#VALUE!</v>
      </c>
      <c r="R43" t="e">
        <f t="shared" si="2"/>
        <v>#VALUE!</v>
      </c>
      <c r="S43" t="e">
        <f t="shared" si="3"/>
        <v>#VALUE!</v>
      </c>
      <c r="T43" t="e">
        <f t="shared" si="4"/>
        <v>#VALUE!</v>
      </c>
      <c r="U43" t="e">
        <f t="shared" si="5"/>
        <v>#VALUE!</v>
      </c>
    </row>
    <row r="44" spans="1:23" ht="30.75" customHeight="1">
      <c r="A44" s="162"/>
      <c r="B44" s="163" t="s">
        <v>243</v>
      </c>
      <c r="C44" s="163"/>
      <c r="D44" s="12"/>
      <c r="E44" s="12"/>
      <c r="F44" s="12"/>
      <c r="G44" s="12"/>
      <c r="H44" s="12"/>
    </row>
    <row r="45" spans="1:23" hidden="1">
      <c r="U45">
        <f>SUMIF(FormulaOfQ,"=2",IT.Amt)</f>
        <v>0</v>
      </c>
      <c r="V45">
        <f>SUMIF(FormulaOfSAT,"=2",IT.Amt)</f>
        <v>0</v>
      </c>
      <c r="W45">
        <f>SUMIF(FormulaOfSAT,"=14",IT.Amt)</f>
        <v>0</v>
      </c>
    </row>
    <row r="46" spans="1:23" hidden="1">
      <c r="U46">
        <f>SUMIF(FormulaOfQ,"=1",IT.Amt)</f>
        <v>0</v>
      </c>
      <c r="V46">
        <f>SUMIF(FormulaOfSAT,"=1",IT.Amt)</f>
        <v>0</v>
      </c>
      <c r="W46">
        <f>SUMIF(FormulaOfSAT,"=13",IT.Amt)</f>
        <v>0</v>
      </c>
    </row>
    <row r="47" spans="1:23" hidden="1"/>
    <row r="48" spans="1:23" hidden="1"/>
    <row r="49" spans="5:5" hidden="1">
      <c r="E49" s="130" t="s">
        <v>335</v>
      </c>
    </row>
    <row r="50" spans="5:5" hidden="1">
      <c r="E50" s="130" t="s">
        <v>336</v>
      </c>
    </row>
    <row r="51" spans="5:5" hidden="1">
      <c r="E51" s="130" t="s">
        <v>338</v>
      </c>
    </row>
    <row r="52" spans="5:5" hidden="1">
      <c r="E52" s="130" t="s">
        <v>341</v>
      </c>
    </row>
    <row r="53" spans="5:5" hidden="1">
      <c r="E53" s="130" t="s">
        <v>483</v>
      </c>
    </row>
    <row r="54" spans="5:5" hidden="1">
      <c r="E54" s="132" t="s">
        <v>485</v>
      </c>
    </row>
    <row r="55" spans="5:5" hidden="1">
      <c r="E55" s="130" t="s">
        <v>487</v>
      </c>
    </row>
    <row r="56" spans="5:5" hidden="1">
      <c r="E56" s="130" t="s">
        <v>489</v>
      </c>
    </row>
    <row r="57" spans="5:5" hidden="1">
      <c r="E57" s="130" t="s">
        <v>491</v>
      </c>
    </row>
    <row r="58" spans="5:5" hidden="1">
      <c r="E58" s="130" t="s">
        <v>493</v>
      </c>
    </row>
    <row r="59" spans="5:5" hidden="1">
      <c r="E59" s="130" t="s">
        <v>495</v>
      </c>
    </row>
    <row r="60" spans="5:5" hidden="1">
      <c r="E60" s="130" t="s">
        <v>498</v>
      </c>
    </row>
    <row r="61" spans="5:5" hidden="1">
      <c r="E61" s="130" t="s">
        <v>501</v>
      </c>
    </row>
    <row r="62" spans="5:5" hidden="1">
      <c r="E62" s="129" t="s">
        <v>504</v>
      </c>
    </row>
    <row r="63" spans="5:5" hidden="1">
      <c r="E63" s="129" t="s">
        <v>508</v>
      </c>
    </row>
    <row r="64" spans="5:5" hidden="1">
      <c r="E64" s="129" t="s">
        <v>512</v>
      </c>
    </row>
    <row r="65" spans="5:5" hidden="1">
      <c r="E65" s="129" t="s">
        <v>518</v>
      </c>
    </row>
    <row r="66" spans="5:5" hidden="1">
      <c r="E66" s="130" t="s">
        <v>521</v>
      </c>
    </row>
    <row r="67" spans="5:5" hidden="1">
      <c r="E67" s="130" t="s">
        <v>525</v>
      </c>
    </row>
    <row r="68" spans="5:5" hidden="1">
      <c r="E68" s="130" t="s">
        <v>529</v>
      </c>
    </row>
    <row r="69" spans="5:5" hidden="1">
      <c r="E69" s="130" t="s">
        <v>533</v>
      </c>
    </row>
    <row r="70" spans="5:5" hidden="1">
      <c r="E70" s="130" t="s">
        <v>539</v>
      </c>
    </row>
    <row r="71" spans="5:5" hidden="1">
      <c r="E71" s="130" t="s">
        <v>544</v>
      </c>
    </row>
    <row r="72" spans="5:5" hidden="1">
      <c r="E72" s="130" t="s">
        <v>549</v>
      </c>
    </row>
    <row r="73" spans="5:5" hidden="1">
      <c r="E73" s="130" t="s">
        <v>553</v>
      </c>
    </row>
    <row r="74" spans="5:5" hidden="1">
      <c r="E74" s="130" t="s">
        <v>556</v>
      </c>
    </row>
    <row r="75" spans="5:5" hidden="1">
      <c r="E75" s="130" t="s">
        <v>558</v>
      </c>
    </row>
    <row r="76" spans="5:5" hidden="1">
      <c r="E76" s="130" t="s">
        <v>560</v>
      </c>
    </row>
    <row r="77" spans="5:5" hidden="1">
      <c r="E77" s="130" t="s">
        <v>562</v>
      </c>
    </row>
    <row r="78" spans="5:5" hidden="1">
      <c r="E78" s="130" t="s">
        <v>564</v>
      </c>
    </row>
    <row r="79" spans="5:5" hidden="1">
      <c r="E79" s="130" t="s">
        <v>588</v>
      </c>
    </row>
    <row r="80" spans="5:5" hidden="1">
      <c r="E80" s="130" t="s">
        <v>589</v>
      </c>
    </row>
    <row r="81" spans="5:5" hidden="1">
      <c r="E81" s="172" t="s">
        <v>842</v>
      </c>
    </row>
    <row r="82" spans="5:5" hidden="1">
      <c r="E82" s="172" t="s">
        <v>843</v>
      </c>
    </row>
    <row r="83" spans="5:5" hidden="1">
      <c r="E83" s="172" t="s">
        <v>844</v>
      </c>
    </row>
    <row r="84" spans="5:5" hidden="1">
      <c r="E84" s="130" t="s">
        <v>590</v>
      </c>
    </row>
    <row r="85" spans="5:5"/>
    <row r="86" spans="5:5"/>
    <row r="87" spans="5:5"/>
  </sheetData>
  <sheetProtection password="C88E" sheet="1" objects="1" scenarios="1"/>
  <mergeCells count="5">
    <mergeCell ref="B8:F8"/>
    <mergeCell ref="B1:F1"/>
    <mergeCell ref="A36:A37"/>
    <mergeCell ref="B35:E35"/>
    <mergeCell ref="B20:F20"/>
  </mergeCells>
  <phoneticPr fontId="13" type="noConversion"/>
  <dataValidations count="12">
    <dataValidation type="whole" allowBlank="1" showErrorMessage="1" errorTitle="Amt" error="Amt  Non negative, no decimal, upto 99,999,999,999,999" sqref="E38:E43">
      <formula1>0</formula1>
      <formula2>99999999999999</formula2>
    </dataValidation>
    <dataValidation type="textLength" operator="lessThanOrEqual" allowBlank="1" showErrorMessage="1" errorTitle="SrlNoOfChaln" error="SrlNoOfChaln  should be at most 5 in Length " sqref="D38:D43">
      <formula1>5</formula1>
    </dataValidation>
    <dataValidation type="textLength" operator="equal" allowBlank="1" showErrorMessage="1" errorTitle="DateDep" error="DateDep  is invalid. Pl enter in dd/mm/yyyy format" sqref="C38:C43">
      <formula1>10</formula1>
    </dataValidation>
    <dataValidation type="textLength" operator="equal" allowBlank="1" showErrorMessage="1" errorTitle="BSRCode" error="BSRCode  should be exactly 7 in Length " sqref="B38:B43">
      <formula1>7</formula1>
    </dataValidation>
    <dataValidation type="whole" allowBlank="1" showErrorMessage="1" errorTitle="ClaimOutOfTotTDSOnAmtPaid" error="ClaimOutOfTotTDSOnAmtPaid  Non negative, no decimal, upto 99,999,999,999,999&#10;&#10;(7) cannot be greater than (6)" sqref="E23:E26 N11:N14 G11:G14">
      <formula1>0</formula1>
      <formula2>99999999999999</formula2>
    </dataValidation>
    <dataValidation type="whole" allowBlank="1" showErrorMessage="1" errorTitle="TotalTDSSal" error="TotalTDSSal  Non negative, no decimal, upto 99,999,999,999,999" sqref="F4:F6">
      <formula1>0</formula1>
      <formula2>99999999999999</formula2>
    </dataValidation>
    <dataValidation type="whole" allowBlank="1" showErrorMessage="1" errorTitle="IncChrgSal" error="IncChrgSal  Non negative, no decimal, upto 99,999,999,999,999" sqref="E4:E6">
      <formula1>0</formula1>
      <formula2>99999999999999</formula2>
    </dataValidation>
    <dataValidation type="textLength" operator="equal" allowBlank="1" showErrorMessage="1" errorTitle="TAN" error="TAN  is invalid. First 4 alphabets, next 5 digits, then alphabet" sqref="C4:C6 C23:C26 C11:C14">
      <formula1>10</formula1>
    </dataValidation>
    <dataValidation type="textLength" operator="lessThanOrEqual" allowBlank="1" showErrorMessage="1" errorTitle="EmployerOrDeductorOrCollecterNam" error="EmployerOrDeductorOrCollecterNam  should not exceed 125 characters " sqref="D4:D6 D23:D26 D11:D14">
      <formula1>125</formula1>
    </dataValidation>
    <dataValidation type="whole" allowBlank="1" showErrorMessage="1" errorTitle="ClaimOutOfTotTDSOnAmtPaid" error="ClaimOutOfTotTDSOnAmtPaid  Non negative, no decimal, upto 99,999,999,999,999&#10;&#10;(5) cannot be greater than (4)" sqref="F23:F26">
      <formula1>0</formula1>
      <formula2>99999999999999</formula2>
    </dataValidation>
    <dataValidation type="textLength" allowBlank="1" showInputMessage="1" showErrorMessage="1" errorTitle="Input Error" error="Unique TDS Certificate No must be 8 characters" sqref="E11:E14">
      <formula1>6</formula1>
      <formula2>8</formula2>
    </dataValidation>
    <dataValidation type="whole" allowBlank="1" showInputMessage="1" showErrorMessage="1" errorTitle="Deducted Year" error="Enter Deducted Year , for ex: enter 2011  for 2011-12.  Should not exceed 2012. Must be digits." sqref="F11:F14">
      <formula1>1000</formula1>
      <formula2>2012</formula2>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7250" r:id="rId3" name="cmdHelp"/>
    <control shapeId="7251" r:id="rId4" name="cmdPrev"/>
    <control shapeId="7252" r:id="rId5" name="cmdValidate"/>
    <control shapeId="7254" r:id="rId6" name="cmdPrint"/>
    <control shapeId="7342" r:id="rId7" name="cmdNext"/>
  </controls>
</worksheet>
</file>

<file path=xl/worksheets/sheet5.xml><?xml version="1.0" encoding="utf-8"?>
<worksheet xmlns="http://schemas.openxmlformats.org/spreadsheetml/2006/main" xmlns:r="http://schemas.openxmlformats.org/officeDocument/2006/relationships">
  <sheetPr codeName="Sheet2"/>
  <dimension ref="A1:Q72"/>
  <sheetViews>
    <sheetView zoomScaleSheetLayoutView="50" workbookViewId="0">
      <selection activeCell="J38" sqref="J38"/>
    </sheetView>
  </sheetViews>
  <sheetFormatPr defaultColWidth="0" defaultRowHeight="12.75" zeroHeight="1"/>
  <cols>
    <col min="1" max="1" width="4.140625" customWidth="1"/>
    <col min="2" max="2" width="3.5703125" customWidth="1"/>
    <col min="3" max="3" width="3.28515625" customWidth="1"/>
    <col min="4" max="4" width="13.140625" customWidth="1"/>
    <col min="5" max="5" width="12.85546875" customWidth="1"/>
    <col min="6" max="6" width="4.140625" style="8" customWidth="1"/>
    <col min="7" max="7" width="4.42578125" customWidth="1"/>
    <col min="8" max="8" width="16.140625" customWidth="1"/>
    <col min="9" max="9" width="14" customWidth="1"/>
    <col min="10" max="10" width="16.140625" customWidth="1"/>
    <col min="11" max="11" width="7.140625" customWidth="1"/>
    <col min="12" max="12" width="10.5703125" customWidth="1"/>
    <col min="13" max="13" width="0" hidden="1" customWidth="1"/>
    <col min="14" max="14" width="10.5703125" hidden="1" customWidth="1"/>
    <col min="15" max="15" width="8.42578125" hidden="1" customWidth="1"/>
    <col min="16" max="16" width="0" hidden="1" customWidth="1"/>
    <col min="17" max="17" width="5.42578125" hidden="1" customWidth="1"/>
    <col min="18" max="16384" width="9.140625" hidden="1"/>
  </cols>
  <sheetData>
    <row r="1" spans="1:17" ht="43.5" customHeight="1">
      <c r="A1" s="542" t="s">
        <v>324</v>
      </c>
      <c r="B1" s="4">
        <v>16</v>
      </c>
      <c r="C1" s="398" t="s">
        <v>21</v>
      </c>
      <c r="D1" s="399"/>
      <c r="E1" s="399"/>
      <c r="F1" s="399"/>
      <c r="G1" s="399"/>
      <c r="H1" s="399"/>
      <c r="I1" s="399"/>
      <c r="J1" s="400"/>
      <c r="K1" s="139"/>
      <c r="L1" s="165"/>
      <c r="M1" s="165" t="str">
        <f>UPPER(Ver.PAN)</f>
        <v>AESPK0866J</v>
      </c>
      <c r="N1" s="165"/>
      <c r="O1" s="165"/>
      <c r="P1" s="165"/>
      <c r="Q1" s="165"/>
    </row>
    <row r="2" spans="1:17" ht="12.75" customHeight="1">
      <c r="A2" s="543"/>
      <c r="B2" s="9"/>
      <c r="C2" s="28" t="s">
        <v>958</v>
      </c>
      <c r="D2" s="449" t="s">
        <v>815</v>
      </c>
      <c r="E2" s="450"/>
      <c r="F2" s="451"/>
      <c r="G2" s="27" t="s">
        <v>1344</v>
      </c>
      <c r="H2" s="226">
        <f>AdvanceTax</f>
        <v>0</v>
      </c>
      <c r="I2" s="32"/>
      <c r="J2" s="33"/>
      <c r="K2" s="139"/>
      <c r="L2" s="165"/>
      <c r="M2" s="165"/>
      <c r="N2" s="165"/>
      <c r="O2" s="165"/>
      <c r="P2" s="165"/>
      <c r="Q2" s="165"/>
    </row>
    <row r="3" spans="1:17" s="8" customFormat="1" ht="24.95" customHeight="1">
      <c r="A3" s="543"/>
      <c r="B3" s="3"/>
      <c r="C3" s="27" t="s">
        <v>959</v>
      </c>
      <c r="D3" s="449" t="s">
        <v>1112</v>
      </c>
      <c r="E3" s="450"/>
      <c r="F3" s="451"/>
      <c r="G3" s="27" t="s">
        <v>1345</v>
      </c>
      <c r="H3" s="226">
        <f>SUM(TDS_Sum,TDS2_Sum)</f>
        <v>43030</v>
      </c>
      <c r="I3" s="36"/>
      <c r="J3" s="37"/>
      <c r="K3" s="139"/>
      <c r="L3" s="165"/>
      <c r="M3" s="165"/>
      <c r="N3" s="165"/>
      <c r="O3" s="165"/>
      <c r="P3" s="165"/>
      <c r="Q3" s="165"/>
    </row>
    <row r="4" spans="1:17" s="8" customFormat="1" ht="24.95" customHeight="1">
      <c r="A4" s="543"/>
      <c r="B4" s="3"/>
      <c r="C4" s="27" t="s">
        <v>961</v>
      </c>
      <c r="D4" s="449" t="s">
        <v>474</v>
      </c>
      <c r="E4" s="450"/>
      <c r="F4" s="451"/>
      <c r="G4" s="27" t="s">
        <v>1346</v>
      </c>
      <c r="H4" s="226">
        <f>SUM(TCS.AmtTCSClaimedThisYear)</f>
        <v>0</v>
      </c>
      <c r="I4" s="36"/>
      <c r="J4" s="37"/>
      <c r="K4" s="139"/>
      <c r="L4" s="165"/>
      <c r="M4" s="165"/>
      <c r="N4" s="165"/>
      <c r="O4" s="165"/>
      <c r="P4" s="165"/>
      <c r="Q4" s="165"/>
    </row>
    <row r="5" spans="1:17" ht="12.75" customHeight="1">
      <c r="A5" s="543"/>
      <c r="B5" s="2"/>
      <c r="C5" s="27" t="s">
        <v>314</v>
      </c>
      <c r="D5" s="449" t="s">
        <v>816</v>
      </c>
      <c r="E5" s="450"/>
      <c r="F5" s="451"/>
      <c r="G5" s="27" t="s">
        <v>1347</v>
      </c>
      <c r="H5" s="226">
        <f>SelfAssessmentTax</f>
        <v>0</v>
      </c>
      <c r="I5" s="34"/>
      <c r="J5" s="35"/>
      <c r="K5" s="139"/>
      <c r="L5" s="165"/>
      <c r="M5" s="165"/>
      <c r="N5" s="165"/>
      <c r="O5" s="165"/>
      <c r="P5" s="165"/>
      <c r="Q5" s="165"/>
    </row>
    <row r="6" spans="1:17" ht="12.75" customHeight="1">
      <c r="A6" s="543"/>
      <c r="B6" s="21">
        <v>17</v>
      </c>
      <c r="C6" s="225" t="s">
        <v>1337</v>
      </c>
      <c r="D6" s="222"/>
      <c r="E6" s="223"/>
      <c r="F6" s="223"/>
      <c r="G6" s="223"/>
      <c r="H6" s="224"/>
      <c r="I6" s="127">
        <v>17</v>
      </c>
      <c r="J6" s="226">
        <f>MAX(0,SUM(H2:H5))</f>
        <v>43030</v>
      </c>
      <c r="K6" s="139"/>
      <c r="L6" s="165"/>
      <c r="M6" s="165"/>
      <c r="N6" s="165"/>
      <c r="O6" s="165"/>
      <c r="P6" s="165"/>
      <c r="Q6" s="165"/>
    </row>
    <row r="7" spans="1:17" ht="12.75" customHeight="1">
      <c r="A7" s="544"/>
      <c r="B7" s="21">
        <v>18</v>
      </c>
      <c r="C7" s="449" t="s">
        <v>1338</v>
      </c>
      <c r="D7" s="450"/>
      <c r="E7" s="450"/>
      <c r="F7" s="450"/>
      <c r="G7" s="450"/>
      <c r="H7" s="451"/>
      <c r="I7" s="127">
        <v>18</v>
      </c>
      <c r="J7" s="226">
        <f>ROUND(MAX(0,IncD.TotTaxPlusIntrstPay-IncD.TotalTaxesPaid),-1)</f>
        <v>0</v>
      </c>
      <c r="K7" s="139"/>
      <c r="L7" s="165"/>
      <c r="M7" s="165"/>
      <c r="N7" s="165"/>
      <c r="O7" s="165"/>
      <c r="P7" s="165"/>
      <c r="Q7" s="165"/>
    </row>
    <row r="8" spans="1:17" ht="12.75" customHeight="1">
      <c r="A8" s="542" t="s">
        <v>329</v>
      </c>
      <c r="B8" s="21">
        <v>19</v>
      </c>
      <c r="C8" s="449" t="s">
        <v>1339</v>
      </c>
      <c r="D8" s="450"/>
      <c r="E8" s="450"/>
      <c r="F8" s="450"/>
      <c r="G8" s="450"/>
      <c r="H8" s="451"/>
      <c r="I8" s="128">
        <v>19</v>
      </c>
      <c r="J8" s="227">
        <f>ROUND(MAX(0,IncD.TotalTaxesPaid-IncD.TotTaxPlusIntrstPay),-1)</f>
        <v>36980</v>
      </c>
      <c r="K8" s="139"/>
      <c r="L8" s="165"/>
      <c r="M8" s="165"/>
      <c r="N8" s="165"/>
      <c r="O8" s="165"/>
      <c r="P8" s="165"/>
      <c r="Q8" s="165"/>
    </row>
    <row r="9" spans="1:17" ht="26.25" customHeight="1">
      <c r="A9" s="543"/>
      <c r="B9" s="2">
        <v>20</v>
      </c>
      <c r="C9" s="456" t="s">
        <v>636</v>
      </c>
      <c r="D9" s="551"/>
      <c r="E9" s="551"/>
      <c r="F9" s="551"/>
      <c r="G9" s="550"/>
      <c r="H9" s="52" t="s">
        <v>1375</v>
      </c>
      <c r="I9" s="545"/>
      <c r="J9" s="546"/>
      <c r="K9" s="139"/>
      <c r="L9" s="165"/>
      <c r="M9" s="165"/>
      <c r="N9" s="165"/>
      <c r="O9" s="165"/>
      <c r="P9" s="165"/>
      <c r="Q9" s="165"/>
    </row>
    <row r="10" spans="1:17" ht="24.95" customHeight="1">
      <c r="A10" s="543"/>
      <c r="B10" s="2">
        <v>21</v>
      </c>
      <c r="C10" s="456" t="s">
        <v>955</v>
      </c>
      <c r="D10" s="551"/>
      <c r="E10" s="551"/>
      <c r="F10" s="551"/>
      <c r="G10" s="551"/>
      <c r="H10" s="551"/>
      <c r="I10" s="550"/>
      <c r="J10" s="47" t="s">
        <v>585</v>
      </c>
      <c r="K10" s="139"/>
      <c r="L10" s="165"/>
      <c r="M10" s="165"/>
      <c r="N10" s="165"/>
      <c r="O10" s="165"/>
      <c r="P10" s="165"/>
      <c r="Q10" s="165"/>
    </row>
    <row r="11" spans="1:17" ht="12.75" customHeight="1">
      <c r="A11" s="543"/>
      <c r="B11" s="2">
        <v>22</v>
      </c>
      <c r="C11" s="398" t="s">
        <v>328</v>
      </c>
      <c r="D11" s="399"/>
      <c r="E11" s="399"/>
      <c r="F11" s="399"/>
      <c r="G11" s="399"/>
      <c r="H11" s="399"/>
      <c r="I11" s="399"/>
      <c r="J11" s="400"/>
      <c r="K11" s="139"/>
      <c r="L11" s="165"/>
      <c r="M11" s="165"/>
      <c r="N11" s="165"/>
      <c r="O11" s="165"/>
      <c r="P11" s="165"/>
      <c r="Q11" s="165"/>
    </row>
    <row r="12" spans="1:17" ht="12.75" customHeight="1">
      <c r="A12" s="544"/>
      <c r="B12" s="2"/>
      <c r="C12" s="456" t="s">
        <v>1330</v>
      </c>
      <c r="D12" s="550"/>
      <c r="E12" s="48" t="s">
        <v>1376</v>
      </c>
      <c r="G12" s="456" t="s">
        <v>658</v>
      </c>
      <c r="H12" s="551"/>
      <c r="I12" s="550"/>
      <c r="J12" s="29" t="s">
        <v>587</v>
      </c>
      <c r="K12" s="139"/>
      <c r="L12" s="165"/>
      <c r="M12" s="165"/>
      <c r="N12" s="165"/>
      <c r="O12" s="165"/>
      <c r="P12" s="165"/>
      <c r="Q12" s="165"/>
    </row>
    <row r="13" spans="1:17" ht="27" hidden="1" customHeight="1">
      <c r="A13" s="86">
        <v>26</v>
      </c>
      <c r="B13" s="547" t="s">
        <v>309</v>
      </c>
      <c r="C13" s="548"/>
      <c r="D13" s="548"/>
      <c r="E13" s="548"/>
      <c r="F13" s="548"/>
      <c r="G13" s="548"/>
      <c r="H13" s="548"/>
      <c r="I13" s="548"/>
      <c r="J13" s="549"/>
      <c r="K13" s="139"/>
      <c r="L13" s="165"/>
      <c r="M13" s="165"/>
      <c r="N13" s="165"/>
      <c r="O13" s="165"/>
      <c r="P13" s="165"/>
      <c r="Q13" s="165"/>
    </row>
    <row r="14" spans="1:17" hidden="1">
      <c r="A14" s="76"/>
      <c r="B14" s="77"/>
      <c r="C14" s="38" t="s">
        <v>310</v>
      </c>
      <c r="D14" s="39" t="s">
        <v>311</v>
      </c>
      <c r="E14" s="39" t="s">
        <v>957</v>
      </c>
      <c r="F14" s="553"/>
      <c r="G14" s="554"/>
      <c r="H14" s="137" t="s">
        <v>659</v>
      </c>
      <c r="I14" s="136" t="s">
        <v>311</v>
      </c>
      <c r="J14" s="136" t="s">
        <v>957</v>
      </c>
      <c r="K14" s="139"/>
      <c r="L14" s="165"/>
      <c r="M14" s="165"/>
      <c r="N14" s="165"/>
      <c r="O14" s="165"/>
      <c r="P14" s="165"/>
      <c r="Q14" s="165"/>
    </row>
    <row r="15" spans="1:17" hidden="1">
      <c r="A15" s="76"/>
      <c r="B15" s="77"/>
      <c r="C15" s="24" t="s">
        <v>958</v>
      </c>
      <c r="D15" s="44" t="s">
        <v>572</v>
      </c>
      <c r="E15" s="228"/>
      <c r="F15" s="555"/>
      <c r="G15" s="556"/>
      <c r="H15" s="138" t="s">
        <v>959</v>
      </c>
      <c r="I15" s="44" t="s">
        <v>573</v>
      </c>
      <c r="J15" s="228"/>
      <c r="K15" s="139"/>
      <c r="L15" s="165"/>
      <c r="M15" s="165"/>
      <c r="N15" s="165"/>
      <c r="O15" s="165"/>
      <c r="P15" s="165"/>
      <c r="Q15" s="165"/>
    </row>
    <row r="16" spans="1:17" hidden="1">
      <c r="A16" s="76"/>
      <c r="B16" s="77"/>
      <c r="C16" s="24" t="s">
        <v>961</v>
      </c>
      <c r="D16" s="44" t="s">
        <v>574</v>
      </c>
      <c r="E16" s="228"/>
      <c r="F16" s="555"/>
      <c r="G16" s="556"/>
      <c r="H16" s="138" t="s">
        <v>314</v>
      </c>
      <c r="I16" s="44" t="s">
        <v>575</v>
      </c>
      <c r="J16" s="228"/>
      <c r="K16" s="139"/>
      <c r="L16" s="165"/>
      <c r="M16" s="165"/>
      <c r="N16" s="165"/>
      <c r="O16" s="165"/>
      <c r="P16" s="165"/>
      <c r="Q16" s="165"/>
    </row>
    <row r="17" spans="1:17" hidden="1">
      <c r="A17" s="78"/>
      <c r="B17" s="15"/>
      <c r="C17" s="24" t="s">
        <v>315</v>
      </c>
      <c r="D17" s="44" t="s">
        <v>576</v>
      </c>
      <c r="E17" s="228"/>
      <c r="F17" s="555"/>
      <c r="G17" s="556"/>
      <c r="H17" s="138" t="s">
        <v>316</v>
      </c>
      <c r="I17" s="44" t="s">
        <v>577</v>
      </c>
      <c r="J17" s="228"/>
      <c r="K17" s="139"/>
      <c r="L17" s="165"/>
      <c r="M17" s="165"/>
      <c r="N17" s="165"/>
      <c r="O17" s="165"/>
      <c r="P17" s="165"/>
      <c r="Q17" s="165"/>
    </row>
    <row r="18" spans="1:17" hidden="1">
      <c r="A18" s="78"/>
      <c r="B18" s="15"/>
      <c r="C18" s="24" t="s">
        <v>317</v>
      </c>
      <c r="D18" s="44" t="s">
        <v>578</v>
      </c>
      <c r="E18" s="228"/>
      <c r="F18" s="555"/>
      <c r="G18" s="556"/>
      <c r="H18" s="138" t="s">
        <v>660</v>
      </c>
      <c r="I18" s="44" t="s">
        <v>579</v>
      </c>
      <c r="J18" s="228"/>
      <c r="K18" s="139"/>
      <c r="L18" s="165"/>
      <c r="M18" s="165"/>
      <c r="N18" s="165"/>
      <c r="O18" s="165"/>
      <c r="P18" s="165"/>
      <c r="Q18" s="165"/>
    </row>
    <row r="19" spans="1:17" ht="12.75" hidden="1" customHeight="1">
      <c r="A19" s="78"/>
      <c r="B19" s="15"/>
      <c r="F19" s="25"/>
      <c r="G19" s="15"/>
      <c r="H19" s="15"/>
      <c r="I19" s="15"/>
      <c r="J19" s="229"/>
      <c r="K19" s="139"/>
      <c r="L19" s="165"/>
      <c r="M19" s="165"/>
      <c r="N19" s="165"/>
      <c r="O19" s="165"/>
      <c r="P19" s="165"/>
      <c r="Q19" s="165"/>
    </row>
    <row r="20" spans="1:17" ht="12.75" hidden="1" customHeight="1">
      <c r="A20" s="78"/>
      <c r="B20" s="15"/>
      <c r="F20" s="25"/>
      <c r="G20" s="15"/>
      <c r="H20" s="15"/>
      <c r="I20" s="15"/>
      <c r="J20" s="229"/>
      <c r="K20" s="139"/>
      <c r="L20" s="165"/>
      <c r="M20" s="165"/>
      <c r="N20" s="165"/>
      <c r="O20" s="165"/>
      <c r="P20" s="165"/>
      <c r="Q20" s="165"/>
    </row>
    <row r="21" spans="1:17" ht="12.75" hidden="1" customHeight="1">
      <c r="A21" s="78"/>
      <c r="B21" s="15"/>
      <c r="F21" s="25"/>
      <c r="G21" s="15"/>
      <c r="H21" s="15"/>
      <c r="I21" s="15"/>
      <c r="J21" s="229"/>
      <c r="K21" s="139"/>
      <c r="L21" s="165"/>
      <c r="M21" s="165"/>
      <c r="N21" s="165"/>
      <c r="O21" s="165"/>
      <c r="P21" s="165"/>
      <c r="Q21" s="165"/>
    </row>
    <row r="22" spans="1:17" ht="12.75" hidden="1" customHeight="1">
      <c r="A22" s="78"/>
      <c r="B22" s="15"/>
      <c r="F22" s="25"/>
      <c r="G22" s="15"/>
      <c r="H22" s="15"/>
      <c r="I22" s="15"/>
      <c r="J22" s="229"/>
      <c r="K22" s="139"/>
      <c r="L22" s="165"/>
      <c r="M22" s="165"/>
      <c r="N22" s="165"/>
      <c r="O22" s="165"/>
      <c r="P22" s="165"/>
      <c r="Q22" s="165"/>
    </row>
    <row r="23" spans="1:17" ht="12.75" hidden="1" customHeight="1">
      <c r="A23" s="78"/>
      <c r="B23" s="15"/>
      <c r="C23" s="15"/>
      <c r="D23" s="15"/>
      <c r="E23" s="15"/>
      <c r="F23" s="25"/>
      <c r="G23" s="15"/>
      <c r="H23" s="15"/>
      <c r="I23" s="15"/>
      <c r="J23" s="229"/>
      <c r="K23" s="139"/>
      <c r="L23" s="165"/>
      <c r="M23" s="165"/>
      <c r="N23" s="165"/>
      <c r="O23" s="165"/>
      <c r="P23" s="165"/>
      <c r="Q23" s="165"/>
    </row>
    <row r="24" spans="1:17">
      <c r="A24" s="22">
        <v>26</v>
      </c>
      <c r="B24" s="42" t="s">
        <v>685</v>
      </c>
      <c r="C24" s="40"/>
      <c r="D24" s="40"/>
      <c r="E24" s="40"/>
      <c r="F24" s="40"/>
      <c r="G24" s="40"/>
      <c r="H24" s="43"/>
      <c r="J24" s="230"/>
      <c r="K24" s="139"/>
      <c r="L24" s="165"/>
      <c r="M24" s="165"/>
      <c r="N24" s="165"/>
      <c r="O24" s="165"/>
      <c r="P24" s="165"/>
      <c r="Q24" s="165"/>
    </row>
    <row r="25" spans="1:17" ht="12.75" hidden="1" customHeight="1">
      <c r="A25" s="78"/>
      <c r="B25" s="15"/>
      <c r="C25" s="15"/>
      <c r="D25" s="15"/>
      <c r="E25" s="15"/>
      <c r="F25" s="25"/>
      <c r="G25" s="15"/>
      <c r="H25" s="15"/>
      <c r="I25" s="15"/>
      <c r="J25" s="26"/>
      <c r="K25" s="139"/>
      <c r="L25" s="165"/>
      <c r="M25" s="165"/>
      <c r="N25" s="165"/>
      <c r="O25" s="165"/>
      <c r="P25" s="165"/>
      <c r="Q25" s="165"/>
    </row>
    <row r="26" spans="1:17" ht="12.75" hidden="1" customHeight="1">
      <c r="A26" s="22">
        <v>26</v>
      </c>
      <c r="B26" s="485" t="s">
        <v>968</v>
      </c>
      <c r="C26" s="552"/>
      <c r="D26" s="552"/>
      <c r="E26" s="552"/>
      <c r="F26" s="83" t="s">
        <v>325</v>
      </c>
      <c r="G26" s="18"/>
      <c r="H26" s="18"/>
      <c r="I26" s="18"/>
      <c r="J26" s="84"/>
      <c r="K26" s="139"/>
      <c r="L26" s="165"/>
      <c r="M26" s="165"/>
      <c r="N26" s="165"/>
      <c r="O26" s="165"/>
      <c r="P26" s="165"/>
      <c r="Q26" s="165"/>
    </row>
    <row r="27" spans="1:17" ht="12.75" hidden="1" customHeight="1">
      <c r="A27" s="79"/>
      <c r="B27" s="80"/>
      <c r="C27" s="80"/>
      <c r="D27" s="80"/>
      <c r="E27" s="80"/>
      <c r="F27" s="81"/>
      <c r="G27" s="80"/>
      <c r="H27" s="80"/>
      <c r="I27" s="80"/>
      <c r="J27" s="82"/>
      <c r="K27" s="139"/>
      <c r="L27" s="165"/>
      <c r="M27" s="165"/>
      <c r="N27" s="165"/>
      <c r="O27" s="165"/>
      <c r="P27" s="165"/>
      <c r="Q27" s="165"/>
    </row>
    <row r="28" spans="1:17" ht="12" customHeight="1">
      <c r="A28" s="557" t="s">
        <v>326</v>
      </c>
      <c r="B28" s="558"/>
      <c r="C28" s="558"/>
      <c r="D28" s="558"/>
      <c r="E28" s="558"/>
      <c r="F28" s="558"/>
      <c r="G28" s="558"/>
      <c r="H28" s="558"/>
      <c r="I28" s="558"/>
      <c r="J28" s="559"/>
      <c r="K28" s="139"/>
      <c r="L28" s="165"/>
      <c r="M28" s="165"/>
      <c r="N28" s="165"/>
      <c r="O28" s="165"/>
      <c r="P28" s="165"/>
      <c r="Q28" s="165"/>
    </row>
    <row r="29" spans="1:17" ht="30.75" customHeight="1">
      <c r="A29" s="557" t="s">
        <v>1120</v>
      </c>
      <c r="B29" s="558"/>
      <c r="C29" s="558"/>
      <c r="D29" s="558"/>
      <c r="E29" s="559"/>
      <c r="F29" s="563" t="s">
        <v>1362</v>
      </c>
      <c r="G29" s="564"/>
      <c r="H29" s="565"/>
      <c r="I29" s="182" t="s">
        <v>663</v>
      </c>
      <c r="J29" s="47" t="s">
        <v>1377</v>
      </c>
      <c r="K29" s="139"/>
      <c r="L29" s="165"/>
      <c r="M29" s="165"/>
      <c r="N29" s="165"/>
      <c r="O29" s="165"/>
      <c r="P29" s="165"/>
      <c r="Q29" s="165"/>
    </row>
    <row r="30" spans="1:17" ht="15" hidden="1" customHeight="1">
      <c r="F30" s="25"/>
      <c r="G30" s="15"/>
      <c r="H30" s="15"/>
      <c r="I30" s="15"/>
      <c r="J30" s="26"/>
      <c r="K30" s="139"/>
      <c r="L30" s="165"/>
      <c r="M30" s="165"/>
      <c r="N30" s="165"/>
      <c r="O30" s="165"/>
      <c r="P30" s="165"/>
      <c r="Q30" s="165"/>
    </row>
    <row r="31" spans="1:17" ht="53.25" customHeight="1">
      <c r="A31" s="560" t="s">
        <v>1332</v>
      </c>
      <c r="B31" s="561"/>
      <c r="C31" s="561"/>
      <c r="D31" s="561"/>
      <c r="E31" s="561"/>
      <c r="F31" s="561"/>
      <c r="G31" s="561"/>
      <c r="H31" s="561"/>
      <c r="I31" s="561"/>
      <c r="J31" s="562"/>
      <c r="K31" s="139"/>
      <c r="L31" s="165"/>
      <c r="M31" s="165"/>
      <c r="N31" s="165"/>
      <c r="O31" s="165"/>
      <c r="P31" s="165"/>
      <c r="Q31" s="165"/>
    </row>
    <row r="32" spans="1:17">
      <c r="A32" s="539" t="s">
        <v>571</v>
      </c>
      <c r="B32" s="539"/>
      <c r="C32" s="527" t="s">
        <v>1378</v>
      </c>
      <c r="D32" s="527"/>
      <c r="E32" s="527"/>
      <c r="F32" s="534" t="s">
        <v>327</v>
      </c>
      <c r="G32" s="535"/>
      <c r="H32" s="141" t="s">
        <v>1379</v>
      </c>
      <c r="I32" s="540" t="s">
        <v>661</v>
      </c>
      <c r="J32" s="541"/>
      <c r="K32" s="142"/>
      <c r="L32" s="165"/>
      <c r="M32" s="165"/>
      <c r="N32" s="165"/>
      <c r="O32" s="165"/>
      <c r="P32" s="165"/>
      <c r="Q32" s="165"/>
    </row>
    <row r="33" spans="1:17" ht="20.100000000000001" customHeight="1">
      <c r="A33" s="539" t="s">
        <v>346</v>
      </c>
      <c r="B33" s="539"/>
      <c r="C33" s="527" t="s">
        <v>1363</v>
      </c>
      <c r="D33" s="527"/>
      <c r="E33" s="80"/>
      <c r="F33" s="140"/>
      <c r="G33" s="80"/>
      <c r="H33" s="80"/>
      <c r="I33" s="79"/>
      <c r="J33" s="82"/>
      <c r="K33" s="142"/>
      <c r="L33" s="165"/>
      <c r="M33" s="165"/>
      <c r="N33" s="165"/>
      <c r="O33" s="165"/>
      <c r="P33" s="165"/>
      <c r="Q33" s="165"/>
    </row>
    <row r="34" spans="1:17">
      <c r="A34" s="144">
        <v>27</v>
      </c>
      <c r="B34" s="13" t="s">
        <v>313</v>
      </c>
      <c r="C34" s="13"/>
      <c r="D34" s="13"/>
      <c r="E34" s="13"/>
      <c r="F34" s="13"/>
      <c r="G34" s="13"/>
      <c r="H34" s="13"/>
      <c r="I34" s="25"/>
      <c r="J34" s="143"/>
      <c r="K34" s="139"/>
      <c r="L34" s="165"/>
      <c r="M34" s="165"/>
      <c r="N34" s="165"/>
      <c r="O34" s="165"/>
      <c r="P34" s="165"/>
      <c r="Q34" s="165"/>
    </row>
    <row r="35" spans="1:17" ht="12" customHeight="1">
      <c r="A35" s="531" t="s">
        <v>662</v>
      </c>
      <c r="B35" s="532"/>
      <c r="C35" s="532"/>
      <c r="D35" s="532"/>
      <c r="E35" s="533"/>
      <c r="F35" s="536" t="s">
        <v>331</v>
      </c>
      <c r="G35" s="537"/>
      <c r="H35" s="538"/>
      <c r="I35" s="343"/>
      <c r="J35" s="523"/>
      <c r="K35" s="142"/>
      <c r="L35" s="165"/>
      <c r="M35" s="165"/>
      <c r="N35" s="165"/>
      <c r="O35" s="165"/>
      <c r="P35" s="165"/>
      <c r="Q35" s="165"/>
    </row>
    <row r="36" spans="1:17" ht="25.35" customHeight="1">
      <c r="A36" s="528"/>
      <c r="B36" s="529"/>
      <c r="C36" s="529"/>
      <c r="D36" s="529"/>
      <c r="E36" s="530"/>
      <c r="F36" s="528"/>
      <c r="G36" s="529"/>
      <c r="H36" s="530"/>
      <c r="I36" s="151"/>
      <c r="J36" s="152"/>
      <c r="K36" s="142"/>
      <c r="L36" s="165"/>
      <c r="M36" s="165"/>
      <c r="N36" s="165"/>
      <c r="O36" s="165"/>
      <c r="P36" s="165"/>
      <c r="Q36" s="165"/>
    </row>
    <row r="37" spans="1:17" ht="7.5" hidden="1" customHeight="1">
      <c r="A37" s="153"/>
      <c r="B37" s="154"/>
      <c r="C37" s="154"/>
      <c r="D37" s="154"/>
      <c r="E37" s="18"/>
      <c r="F37" s="148"/>
      <c r="G37" s="148"/>
      <c r="H37" s="18"/>
      <c r="I37" s="155"/>
      <c r="J37" s="156"/>
      <c r="K37" s="142"/>
      <c r="L37" s="165"/>
      <c r="M37" s="165"/>
      <c r="N37" s="165"/>
      <c r="O37" s="165"/>
      <c r="P37" s="165"/>
      <c r="Q37" s="165"/>
    </row>
    <row r="38" spans="1:17" ht="24" customHeight="1">
      <c r="A38" s="145">
        <v>28</v>
      </c>
      <c r="B38" s="524" t="s">
        <v>664</v>
      </c>
      <c r="C38" s="525"/>
      <c r="D38" s="525"/>
      <c r="E38" s="525"/>
      <c r="F38" s="525"/>
      <c r="G38" s="525"/>
      <c r="H38" s="525"/>
      <c r="I38" s="526"/>
      <c r="J38" s="231"/>
      <c r="K38" s="139"/>
      <c r="L38" s="165"/>
      <c r="M38" s="165"/>
      <c r="N38" s="165"/>
      <c r="O38" s="165"/>
      <c r="P38" s="165"/>
      <c r="Q38" s="165"/>
    </row>
    <row r="39" spans="1:17" hidden="1"/>
    <row r="40" spans="1:17" hidden="1"/>
    <row r="41" spans="1:17" hidden="1"/>
    <row r="42" spans="1:17" hidden="1">
      <c r="G42" t="s">
        <v>1318</v>
      </c>
      <c r="H42" t="s">
        <v>1318</v>
      </c>
    </row>
    <row r="43" spans="1:17" hidden="1">
      <c r="G43" t="s">
        <v>584</v>
      </c>
      <c r="H43" t="s">
        <v>586</v>
      </c>
    </row>
    <row r="44" spans="1:17" hidden="1">
      <c r="G44" t="s">
        <v>585</v>
      </c>
      <c r="H44" t="s">
        <v>587</v>
      </c>
    </row>
    <row r="45" spans="1:17" hidden="1">
      <c r="A45" s="311"/>
      <c r="B45" s="311"/>
      <c r="C45" s="311"/>
      <c r="D45" s="311"/>
      <c r="E45" s="311"/>
      <c r="F45" s="311"/>
      <c r="G45" s="311"/>
      <c r="H45" s="312" t="s">
        <v>1331</v>
      </c>
      <c r="I45" s="311"/>
      <c r="J45" s="311"/>
      <c r="K45" s="311"/>
      <c r="L45" s="311"/>
      <c r="M45" s="311"/>
      <c r="N45" s="311"/>
      <c r="O45" s="311"/>
      <c r="P45" s="311"/>
    </row>
    <row r="46" spans="1:17" hidden="1"/>
    <row r="47" spans="1:17" hidden="1"/>
    <row r="48" spans="1:17"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sheetData>
  <sheetProtection password="C88E" sheet="1" objects="1" scenarios="1"/>
  <mergeCells count="34">
    <mergeCell ref="A29:E29"/>
    <mergeCell ref="A31:J31"/>
    <mergeCell ref="C32:E32"/>
    <mergeCell ref="C8:H8"/>
    <mergeCell ref="F29:H29"/>
    <mergeCell ref="A28:J28"/>
    <mergeCell ref="B26:E26"/>
    <mergeCell ref="G12:I12"/>
    <mergeCell ref="F14:G18"/>
    <mergeCell ref="C9:G9"/>
    <mergeCell ref="D5:F5"/>
    <mergeCell ref="A1:A7"/>
    <mergeCell ref="C11:J11"/>
    <mergeCell ref="I9:J9"/>
    <mergeCell ref="B13:J13"/>
    <mergeCell ref="C12:D12"/>
    <mergeCell ref="D4:F4"/>
    <mergeCell ref="C1:J1"/>
    <mergeCell ref="A8:A12"/>
    <mergeCell ref="C10:I10"/>
    <mergeCell ref="D2:F2"/>
    <mergeCell ref="D3:F3"/>
    <mergeCell ref="C7:H7"/>
    <mergeCell ref="F32:G32"/>
    <mergeCell ref="F35:H35"/>
    <mergeCell ref="F36:H36"/>
    <mergeCell ref="A33:B33"/>
    <mergeCell ref="I32:J32"/>
    <mergeCell ref="A32:B32"/>
    <mergeCell ref="I35:J35"/>
    <mergeCell ref="B38:I38"/>
    <mergeCell ref="C33:D33"/>
    <mergeCell ref="A36:E36"/>
    <mergeCell ref="A35:E35"/>
  </mergeCells>
  <phoneticPr fontId="0" type="noConversion"/>
  <dataValidations count="27">
    <dataValidation type="whole" allowBlank="1" showErrorMessage="1" errorTitle="AdvanceTax" error="AdvanceTax  Non negative, no decimal, upto 99,999,999,999,999" sqref="H2">
      <formula1>0</formula1>
      <formula2>99999999999999</formula2>
    </dataValidation>
    <dataValidation type="whole" allowBlank="1" showErrorMessage="1" errorTitle="TDS" error="TDS  Non negative, no decimal, upto 99,999,999,999,999" sqref="H3:H4">
      <formula1>0</formula1>
      <formula2>99999999999999</formula2>
    </dataValidation>
    <dataValidation type="whole" allowBlank="1" showErrorMessage="1" errorTitle="SelfAssessmentTax" error="SelfAssessmentTax  Non negative, no decimal, upto 99,999,999,999,999" sqref="H5">
      <formula1>0</formula1>
      <formula2>99999999999999</formula2>
    </dataValidation>
    <dataValidation type="whole" allowBlank="1" showErrorMessage="1" errorTitle="TotalTaxesPaid" error="TotalTaxesPaid  Non negative, no decimal, upto 99,999,999,999,999" sqref="J6">
      <formula1>0</formula1>
      <formula2>99999999999999</formula2>
    </dataValidation>
    <dataValidation type="whole" allowBlank="1" showErrorMessage="1" errorTitle="BalTaxPayable" error="BalTaxPayable  Non negative, no decimal, upto 99,999,999,999,999" sqref="J7">
      <formula1>0</formula1>
      <formula2>99999999999999</formula2>
    </dataValidation>
    <dataValidation type="whole" allowBlank="1" showErrorMessage="1" errorTitle="RefundDue" error="RefundDue  Non negative, no decimal, upto 99,999,999,999,999" sqref="J8">
      <formula1>0</formula1>
      <formula2>99999999999999</formula2>
    </dataValidation>
    <dataValidation type="textLength" operator="lessThanOrEqual" allowBlank="1" showErrorMessage="1" errorTitle="BankAccountNumber" error="BankAccountNumber  should be at most 17 digits " sqref="H9">
      <formula1>17</formula1>
    </dataValidation>
    <dataValidation type="list" allowBlank="1" showErrorMessage="1" errorTitle="EcsRequired" error="  Please Select from list" sqref="J10">
      <formula1>cmb_IncD.EcsRequired</formula1>
    </dataValidation>
    <dataValidation type="textLength" operator="equal" allowBlank="1" showErrorMessage="1" errorTitle="IFSCCode" error="IFSC Code should be exactly 11 in length with 1st 4 alphabets, followed by Zero and remaining 6 should be alphanumeric." sqref="E12">
      <formula1>11</formula1>
    </dataValidation>
    <dataValidation type="list" allowBlank="1" showErrorMessage="1" errorTitle="BankAccountType" error="  Please Select from list" sqref="J12">
      <formula1>cmb_IncD.BankAccountType</formula1>
    </dataValidation>
    <dataValidation type="whole" allowBlank="1" showErrorMessage="1" errorTitle="Code001" error="Code001  Non negative, no decimal, upto 99,999,999,999,999" sqref="E15">
      <formula1>0</formula1>
      <formula2>99999999999999</formula2>
    </dataValidation>
    <dataValidation type="whole" allowBlank="1" showErrorMessage="1" errorTitle="Code002" error="Code002  Non negative, no decimal, upto 99,999,999,999,999" sqref="J15">
      <formula1>0</formula1>
      <formula2>99999999999999</formula2>
    </dataValidation>
    <dataValidation type="whole" allowBlank="1" showErrorMessage="1" errorTitle="Code003" error="Code003  Non negative, no decimal, upto 99,999,999,999,999" sqref="E16">
      <formula1>0</formula1>
      <formula2>99999999999999</formula2>
    </dataValidation>
    <dataValidation type="whole" allowBlank="1" showErrorMessage="1" errorTitle="Code004" error="Code004  Non negative, no decimal, upto 99,999,999,999,999" sqref="J16">
      <formula1>0</formula1>
      <formula2>99999999999999</formula2>
    </dataValidation>
    <dataValidation type="whole" allowBlank="1" showErrorMessage="1" errorTitle="Code005" error="Code005  Non negative, no decimal, upto 99,999,999,999,999" sqref="E17">
      <formula1>0</formula1>
      <formula2>99999999999999</formula2>
    </dataValidation>
    <dataValidation type="whole" allowBlank="1" showErrorMessage="1" errorTitle="Code006" error="Code006  Non negative, no decimal, upto 99,999,999,999,999" sqref="J17">
      <formula1>0</formula1>
      <formula2>99999999999999</formula2>
    </dataValidation>
    <dataValidation type="whole" allowBlank="1" showErrorMessage="1" errorTitle="Code007" error="Code007  Non negative, no decimal, upto 99,999,999,999,999" sqref="E18">
      <formula1>0</formula1>
      <formula2>99999999999999</formula2>
    </dataValidation>
    <dataValidation type="whole" allowBlank="1" showErrorMessage="1" errorTitle="Code008" error="Code008  Non negative, no decimal, upto 99,999,999,999,999" sqref="J18">
      <formula1>0</formula1>
      <formula2>99999999999999</formula2>
    </dataValidation>
    <dataValidation type="whole" allowBlank="1" showInputMessage="1" showErrorMessage="1" errorTitle="TaxExmpIntInc" error="TaxExmpIntInc  Non negative, no decimal, upto 5000" sqref="J24">
      <formula1>0</formula1>
      <formula2>5000</formula2>
    </dataValidation>
    <dataValidation type="textLength" operator="lessThanOrEqual" allowBlank="1" showErrorMessage="1" errorTitle="FatherName" error="FatherName  should not exceed 125 characters " sqref="J29">
      <formula1>125</formula1>
    </dataValidation>
    <dataValidation type="textLength" operator="lessThanOrEqual" allowBlank="1" showErrorMessage="1" errorTitle="Place" error="Place  should not exceed 50 characters " sqref="C32">
      <formula1>50</formula1>
    </dataValidation>
    <dataValidation type="textLength" operator="equal" allowBlank="1" showErrorMessage="1" errorTitle="Date" error="Date  is invalid. Pl enter in dd/mm/yyyy format" sqref="H32">
      <formula1>10</formula1>
    </dataValidation>
    <dataValidation type="textLength" operator="lessThanOrEqual" allowBlank="1" showErrorMessage="1" errorTitle="IdentificationNoOfTRP" error="IdentificationNoOfTRP  should not exceed 10 characters " sqref="A36">
      <formula1>10</formula1>
    </dataValidation>
    <dataValidation type="whole" allowBlank="1" showErrorMessage="1" errorTitle="ReImbFrmGov" error="ReImbFrmGov  Non negative, no decimal, upto 99,999,999,999,999" sqref="J38">
      <formula1>0</formula1>
      <formula2>99999999999999</formula2>
    </dataValidation>
    <dataValidation type="textLength" operator="equal" allowBlank="1" showInputMessage="1" showErrorMessage="1" errorTitle="PAN" error="PAN must be 10 in length" sqref="C33:D33">
      <formula1>10</formula1>
    </dataValidation>
    <dataValidation type="textLength" operator="lessThanOrEqual" allowBlank="1" showErrorMessage="1" errorTitle="NameOfTRP" error="NameOfTRP  should not exceed 125 characters " sqref="F36:H36">
      <formula1>125</formula1>
    </dataValidation>
    <dataValidation type="textLength" operator="lessThanOrEqual" allowBlank="1" showErrorMessage="1" errorTitle="AssesseeVerName" error="AssesseeVerName  should not exceed 125 characters " sqref="F29:H29">
      <formula1>125</formula1>
    </dataValidation>
  </dataValidations>
  <printOptions horizontalCentered="1"/>
  <pageMargins left="5.5555555555555558E-3" right="0" top="0" bottom="0" header="1" footer="1"/>
  <pageSetup paperSize="9" orientation="portrait" blackAndWhite="1" r:id="rId1"/>
  <headerFooter alignWithMargins="0"/>
  <rowBreaks count="1" manualBreakCount="1">
    <brk id="44" max="16" man="1"/>
  </rowBreaks>
  <legacyDrawing r:id="rId2"/>
  <controls>
    <control shapeId="4420" r:id="rId3" name="cmdHelp"/>
    <control shapeId="4422" r:id="rId4" name="cmdVallidate"/>
    <control shapeId="4424" r:id="rId5" name="cmdPrint"/>
    <control shapeId="4425" r:id="rId6" name="cmdPrev"/>
    <control shapeId="4497" r:id="rId7" name="cmdNext"/>
  </controls>
</worksheet>
</file>

<file path=xl/worksheets/sheet6.xml><?xml version="1.0" encoding="utf-8"?>
<worksheet xmlns="http://schemas.openxmlformats.org/spreadsheetml/2006/main" xmlns:r="http://schemas.openxmlformats.org/officeDocument/2006/relationships">
  <sheetPr codeName="Sheet6"/>
  <dimension ref="A1:IU193"/>
  <sheetViews>
    <sheetView showGridLines="0" workbookViewId="0"/>
  </sheetViews>
  <sheetFormatPr defaultColWidth="0" defaultRowHeight="12.75" zeroHeight="1"/>
  <cols>
    <col min="1" max="3" width="9.140625" customWidth="1"/>
    <col min="4" max="4" width="12.140625" customWidth="1"/>
    <col min="5" max="5" width="14.85546875" customWidth="1"/>
    <col min="6" max="6" width="11.5703125" customWidth="1"/>
    <col min="7" max="7" width="9.140625" customWidth="1"/>
    <col min="8" max="8" width="11.85546875" customWidth="1"/>
    <col min="9" max="9" width="17" customWidth="1"/>
    <col min="10" max="10" width="16.85546875" customWidth="1"/>
    <col min="11" max="11" width="14" customWidth="1"/>
    <col min="12" max="255" width="9.140625" hidden="1" customWidth="1"/>
    <col min="256" max="16384" width="3.5703125" hidden="1"/>
  </cols>
  <sheetData>
    <row r="1" spans="1:16">
      <c r="A1" s="153"/>
      <c r="B1" s="18"/>
      <c r="C1" s="569" t="s">
        <v>256</v>
      </c>
      <c r="D1" s="569"/>
      <c r="E1" s="569"/>
      <c r="F1" s="43" t="s">
        <v>257</v>
      </c>
      <c r="G1" s="83"/>
      <c r="H1" s="83"/>
      <c r="I1" s="248"/>
      <c r="L1">
        <f>SUM(PerYES10080G.EligibleAmt)</f>
        <v>0</v>
      </c>
      <c r="M1">
        <f>SUM(Per5080G.EligibleAmt)</f>
        <v>0</v>
      </c>
      <c r="N1">
        <f>ROUND(0.1*MAX(0,(w_1-(SUM('Income Details'!AL46:AU55)+SUM('Income Details'!AL58:AU63)+IF(MID('Income Details'!sheet1.Status,1,1)="H",0,VALUE(IncD.Section80GG))))),0)</f>
        <v>25878</v>
      </c>
      <c r="O1">
        <f>QualifyingAmount80G</f>
        <v>25878</v>
      </c>
      <c r="P1">
        <f>MAX(0,ROUND((CD_EligibleAmount-C_Eligible)/2,0))</f>
        <v>12939</v>
      </c>
    </row>
    <row r="2" spans="1:16" ht="66" customHeight="1">
      <c r="A2" s="10" t="s">
        <v>1057</v>
      </c>
      <c r="B2" s="570" t="s">
        <v>1343</v>
      </c>
      <c r="C2" s="571"/>
      <c r="D2" s="571"/>
      <c r="E2" s="571"/>
      <c r="F2" s="571"/>
      <c r="G2" s="250"/>
      <c r="L2" s="273"/>
    </row>
    <row r="3" spans="1:16" ht="25.5">
      <c r="A3" s="254"/>
      <c r="B3" s="249"/>
      <c r="C3" s="267" t="s">
        <v>258</v>
      </c>
      <c r="D3" s="267" t="s">
        <v>691</v>
      </c>
      <c r="E3" s="267" t="s">
        <v>692</v>
      </c>
      <c r="F3" s="267" t="s">
        <v>693</v>
      </c>
      <c r="G3" s="267" t="s">
        <v>259</v>
      </c>
      <c r="H3" s="267" t="s">
        <v>261</v>
      </c>
      <c r="I3" s="245" t="s">
        <v>260</v>
      </c>
      <c r="J3" s="246" t="s">
        <v>262</v>
      </c>
      <c r="O3" t="s">
        <v>272</v>
      </c>
    </row>
    <row r="4" spans="1:16">
      <c r="A4" s="255"/>
      <c r="B4" s="256">
        <v>1</v>
      </c>
      <c r="C4" s="257"/>
      <c r="D4" s="258"/>
      <c r="E4" s="258"/>
      <c r="F4" s="259" t="s">
        <v>1318</v>
      </c>
      <c r="G4" s="260"/>
      <c r="H4" s="260"/>
      <c r="I4" s="206"/>
      <c r="J4" s="266">
        <f>MIN(VALUE(I4),w_1)</f>
        <v>0</v>
      </c>
      <c r="O4" s="271">
        <f>MIN(VALUE(I4),VALUE(J4))</f>
        <v>0</v>
      </c>
    </row>
    <row r="5" spans="1:16">
      <c r="A5" s="255"/>
      <c r="B5" s="256">
        <v>2</v>
      </c>
      <c r="C5" s="257"/>
      <c r="D5" s="258"/>
      <c r="E5" s="258"/>
      <c r="F5" s="259" t="s">
        <v>1318</v>
      </c>
      <c r="G5" s="260"/>
      <c r="H5" s="260"/>
      <c r="I5" s="206"/>
      <c r="J5" s="266">
        <f>MIN(VALUE(I5),w_1)</f>
        <v>0</v>
      </c>
      <c r="O5" s="271">
        <f>MIN(I5,J5)</f>
        <v>0</v>
      </c>
    </row>
    <row r="6" spans="1:16">
      <c r="A6" s="255"/>
      <c r="B6" s="256">
        <v>3</v>
      </c>
      <c r="C6" s="257"/>
      <c r="D6" s="258"/>
      <c r="E6" s="258"/>
      <c r="F6" s="259" t="s">
        <v>1318</v>
      </c>
      <c r="G6" s="260"/>
      <c r="H6" s="260"/>
      <c r="I6" s="206"/>
      <c r="J6" s="266">
        <f>MIN(VALUE(I6),w_1)</f>
        <v>0</v>
      </c>
      <c r="O6" s="271">
        <f>MIN(I6,J6)</f>
        <v>0</v>
      </c>
    </row>
    <row r="7" spans="1:16">
      <c r="A7" s="261"/>
      <c r="B7" s="306">
        <f>B6+1</f>
        <v>4</v>
      </c>
      <c r="C7" s="257"/>
      <c r="D7" s="258"/>
      <c r="E7" s="258"/>
      <c r="F7" s="259" t="s">
        <v>1318</v>
      </c>
      <c r="G7" s="260"/>
      <c r="H7" s="260"/>
      <c r="I7" s="206"/>
      <c r="J7" s="266">
        <f>MIN(VALUE(I7),w_1)</f>
        <v>0</v>
      </c>
      <c r="O7" s="271">
        <f>MIN(I7,J7)</f>
        <v>0</v>
      </c>
    </row>
    <row r="8" spans="1:16">
      <c r="A8" s="208"/>
      <c r="B8" s="262"/>
      <c r="C8" s="281"/>
      <c r="D8" s="282"/>
      <c r="E8" s="282"/>
      <c r="F8" s="283"/>
      <c r="G8" s="284"/>
      <c r="I8" s="263"/>
      <c r="J8" s="264"/>
    </row>
    <row r="9" spans="1:16">
      <c r="A9" s="208"/>
      <c r="B9" s="265"/>
      <c r="C9" s="566" t="s">
        <v>267</v>
      </c>
      <c r="D9" s="567"/>
      <c r="E9" s="567"/>
      <c r="F9" s="567"/>
      <c r="G9" s="567"/>
      <c r="H9" s="568"/>
      <c r="I9" s="266">
        <f>SUM(Per10080G.DonationAmt)</f>
        <v>0</v>
      </c>
      <c r="J9" s="266">
        <f>MIN(w_1,SUM(Per10080G.EligibleAmt))</f>
        <v>0</v>
      </c>
    </row>
    <row r="10" spans="1:16"/>
    <row r="11" spans="1:16"/>
    <row r="12" spans="1:16"/>
    <row r="13" spans="1:16"/>
    <row r="14" spans="1:16"/>
    <row r="15" spans="1:16">
      <c r="A15" s="10" t="s">
        <v>1090</v>
      </c>
      <c r="B15" s="249" t="s">
        <v>263</v>
      </c>
      <c r="C15" s="250"/>
      <c r="D15" s="251"/>
      <c r="E15" s="250"/>
      <c r="F15" s="250"/>
      <c r="G15" s="250"/>
      <c r="H15" s="252"/>
      <c r="I15" s="253"/>
    </row>
    <row r="16" spans="1:16" ht="25.5">
      <c r="A16" s="254"/>
      <c r="B16" s="249"/>
      <c r="C16" s="267" t="s">
        <v>258</v>
      </c>
      <c r="D16" s="267" t="s">
        <v>691</v>
      </c>
      <c r="E16" s="267" t="s">
        <v>692</v>
      </c>
      <c r="F16" s="267" t="s">
        <v>693</v>
      </c>
      <c r="G16" s="267" t="s">
        <v>259</v>
      </c>
      <c r="H16" s="267" t="s">
        <v>261</v>
      </c>
      <c r="I16" s="245" t="s">
        <v>260</v>
      </c>
      <c r="J16" s="246" t="s">
        <v>262</v>
      </c>
    </row>
    <row r="17" spans="1:15">
      <c r="A17" s="255"/>
      <c r="B17" s="256">
        <v>1</v>
      </c>
      <c r="C17" s="257"/>
      <c r="D17" s="258"/>
      <c r="E17" s="258"/>
      <c r="F17" s="259" t="s">
        <v>1318</v>
      </c>
      <c r="G17" s="260" t="s">
        <v>630</v>
      </c>
      <c r="H17" s="260" t="s">
        <v>630</v>
      </c>
      <c r="I17" s="206"/>
      <c r="J17" s="266">
        <f>ROUND(MIN(VALUE(I17/2),w_1),0)</f>
        <v>0</v>
      </c>
      <c r="O17" s="271">
        <f>MIN(I17/2,J17)</f>
        <v>0</v>
      </c>
    </row>
    <row r="18" spans="1:15">
      <c r="A18" s="255"/>
      <c r="B18" s="256">
        <v>2</v>
      </c>
      <c r="C18" s="257"/>
      <c r="D18" s="258"/>
      <c r="E18" s="258"/>
      <c r="F18" s="259" t="s">
        <v>1318</v>
      </c>
      <c r="G18" s="260"/>
      <c r="H18" s="260"/>
      <c r="I18" s="206"/>
      <c r="J18" s="266">
        <f>ROUND(MIN(VALUE(I18/2),w_1),0)</f>
        <v>0</v>
      </c>
      <c r="O18" s="271">
        <f>MIN(I18/2,J18)</f>
        <v>0</v>
      </c>
    </row>
    <row r="19" spans="1:15">
      <c r="A19" s="255"/>
      <c r="B19" s="256">
        <v>3</v>
      </c>
      <c r="C19" s="257"/>
      <c r="D19" s="258"/>
      <c r="E19" s="258"/>
      <c r="F19" s="259" t="s">
        <v>1318</v>
      </c>
      <c r="G19" s="260"/>
      <c r="H19" s="260"/>
      <c r="I19" s="206"/>
      <c r="J19" s="266">
        <f>ROUND(MIN(VALUE(I19/2),w_1),0)</f>
        <v>0</v>
      </c>
      <c r="O19" s="271">
        <f>MIN(I19/2,J19)</f>
        <v>0</v>
      </c>
    </row>
    <row r="20" spans="1:15">
      <c r="A20" s="261"/>
      <c r="B20" s="306">
        <f>B19+1</f>
        <v>4</v>
      </c>
      <c r="C20" s="257"/>
      <c r="D20" s="258"/>
      <c r="E20" s="258"/>
      <c r="F20" s="259" t="s">
        <v>1318</v>
      </c>
      <c r="G20" s="260"/>
      <c r="H20" s="260"/>
      <c r="I20" s="206"/>
      <c r="J20" s="266">
        <f>ROUND(MIN(VALUE(I20/2),w_1),0)</f>
        <v>0</v>
      </c>
      <c r="O20" s="271">
        <f>MIN(I20/2,J20)</f>
        <v>0</v>
      </c>
    </row>
    <row r="21" spans="1:15">
      <c r="A21" s="208"/>
      <c r="B21" s="262"/>
      <c r="C21" s="281"/>
      <c r="D21" s="282"/>
      <c r="E21" s="282"/>
      <c r="F21" s="283"/>
      <c r="G21" s="284"/>
      <c r="I21" s="263"/>
      <c r="J21" s="264"/>
    </row>
    <row r="22" spans="1:15">
      <c r="A22" s="208"/>
      <c r="B22" s="265"/>
      <c r="C22" s="566" t="s">
        <v>268</v>
      </c>
      <c r="D22" s="567"/>
      <c r="E22" s="567"/>
      <c r="F22" s="567"/>
      <c r="G22" s="567"/>
      <c r="H22" s="568"/>
      <c r="I22" s="320">
        <f>SUM(PerNO5080G.DonationAmt)</f>
        <v>0</v>
      </c>
      <c r="J22" s="266">
        <f>ROUND(MIN(SUM(PerNO5080G.EligibleAmtCalc),w_1),0)</f>
        <v>0</v>
      </c>
    </row>
    <row r="23" spans="1:15"/>
    <row r="24" spans="1:15"/>
    <row r="25" spans="1:15"/>
    <row r="26" spans="1:15"/>
    <row r="27" spans="1:15"/>
    <row r="28" spans="1:15"/>
    <row r="29" spans="1:15"/>
    <row r="30" spans="1:15">
      <c r="A30" s="10" t="s">
        <v>185</v>
      </c>
      <c r="B30" s="249" t="s">
        <v>264</v>
      </c>
      <c r="C30" s="250"/>
      <c r="D30" s="251"/>
      <c r="E30" s="250"/>
      <c r="F30" s="250"/>
      <c r="G30" s="250"/>
      <c r="H30" s="252"/>
      <c r="I30" s="253"/>
    </row>
    <row r="31" spans="1:15" ht="25.5">
      <c r="A31" s="254"/>
      <c r="B31" s="249"/>
      <c r="C31" s="267" t="s">
        <v>258</v>
      </c>
      <c r="D31" s="267" t="s">
        <v>691</v>
      </c>
      <c r="E31" s="267" t="s">
        <v>694</v>
      </c>
      <c r="F31" s="267" t="s">
        <v>693</v>
      </c>
      <c r="G31" s="267" t="s">
        <v>259</v>
      </c>
      <c r="H31" s="267" t="s">
        <v>261</v>
      </c>
      <c r="I31" s="245" t="s">
        <v>260</v>
      </c>
      <c r="J31" s="246" t="s">
        <v>262</v>
      </c>
    </row>
    <row r="32" spans="1:15">
      <c r="A32" s="255"/>
      <c r="B32" s="256">
        <v>1</v>
      </c>
      <c r="C32" s="257"/>
      <c r="D32" s="258"/>
      <c r="E32" s="258"/>
      <c r="F32" s="259" t="s">
        <v>1318</v>
      </c>
      <c r="G32" s="260" t="s">
        <v>630</v>
      </c>
      <c r="H32" s="260" t="s">
        <v>630</v>
      </c>
      <c r="I32" s="206"/>
      <c r="J32" s="266">
        <f>ROUND(MIN(MIN(VALUE(I32),w_1),QualifyingAmount80G),0)</f>
        <v>0</v>
      </c>
      <c r="O32" s="271">
        <f>MIN(I32,J32)</f>
        <v>0</v>
      </c>
    </row>
    <row r="33" spans="1:15">
      <c r="A33" s="255"/>
      <c r="B33" s="256">
        <v>2</v>
      </c>
      <c r="C33" s="257"/>
      <c r="D33" s="258"/>
      <c r="E33" s="258"/>
      <c r="F33" s="259" t="s">
        <v>1318</v>
      </c>
      <c r="G33" s="260"/>
      <c r="H33" s="260"/>
      <c r="I33" s="206"/>
      <c r="J33" s="266">
        <f>ROUND(MIN(MIN(VALUE(I33),w_1),QualifyingAmount80G),0)</f>
        <v>0</v>
      </c>
      <c r="O33" s="271">
        <f>MIN(I33,J33)</f>
        <v>0</v>
      </c>
    </row>
    <row r="34" spans="1:15">
      <c r="A34" s="255"/>
      <c r="B34" s="256">
        <v>3</v>
      </c>
      <c r="C34" s="257"/>
      <c r="D34" s="258"/>
      <c r="E34" s="258"/>
      <c r="F34" s="259" t="s">
        <v>1318</v>
      </c>
      <c r="G34" s="260"/>
      <c r="H34" s="260"/>
      <c r="I34" s="206"/>
      <c r="J34" s="266">
        <f>ROUND(MIN(MIN(VALUE(I34),w_1),QualifyingAmount80G),0)</f>
        <v>0</v>
      </c>
      <c r="O34" s="271">
        <f>MIN(I34,J34)</f>
        <v>0</v>
      </c>
    </row>
    <row r="35" spans="1:15">
      <c r="A35" s="261"/>
      <c r="B35" s="306">
        <f>B34+1</f>
        <v>4</v>
      </c>
      <c r="C35" s="257"/>
      <c r="D35" s="258"/>
      <c r="E35" s="258"/>
      <c r="F35" s="259" t="s">
        <v>1318</v>
      </c>
      <c r="G35" s="260"/>
      <c r="H35" s="260"/>
      <c r="I35" s="206"/>
      <c r="J35" s="266">
        <f>ROUND(MIN(MIN(VALUE(I35),w_1),QualifyingAmount80G),0)</f>
        <v>0</v>
      </c>
      <c r="O35" s="271">
        <f>MIN(I35,J35)</f>
        <v>0</v>
      </c>
    </row>
    <row r="36" spans="1:15">
      <c r="A36" s="208"/>
      <c r="B36" s="262"/>
      <c r="C36" s="281"/>
      <c r="D36" s="282"/>
      <c r="E36" s="282"/>
      <c r="F36" s="283"/>
      <c r="G36" s="284"/>
      <c r="I36" s="263"/>
      <c r="J36" s="264"/>
    </row>
    <row r="37" spans="1:15">
      <c r="A37" s="208"/>
      <c r="B37" s="265"/>
      <c r="C37" s="566" t="s">
        <v>269</v>
      </c>
      <c r="D37" s="567"/>
      <c r="E37" s="567"/>
      <c r="F37" s="567"/>
      <c r="G37" s="567"/>
      <c r="H37" s="568"/>
      <c r="I37" s="320">
        <f>SUM(PerYES10080G.DonationAmt)</f>
        <v>0</v>
      </c>
      <c r="J37" s="266">
        <f>ROUND(MIN(C_Eligible,CD_EligibleAmount),0)</f>
        <v>0</v>
      </c>
    </row>
    <row r="38" spans="1:15"/>
    <row r="39" spans="1:15"/>
    <row r="40" spans="1:15"/>
    <row r="41" spans="1:15"/>
    <row r="42" spans="1:15"/>
    <row r="43" spans="1:15"/>
    <row r="44" spans="1:15"/>
    <row r="45" spans="1:15">
      <c r="A45" s="10" t="s">
        <v>265</v>
      </c>
      <c r="B45" s="249" t="s">
        <v>266</v>
      </c>
      <c r="C45" s="250"/>
      <c r="D45" s="251"/>
      <c r="E45" s="250"/>
      <c r="F45" s="250"/>
      <c r="G45" s="250"/>
      <c r="H45" s="252"/>
      <c r="I45" s="253"/>
    </row>
    <row r="46" spans="1:15" ht="25.5">
      <c r="A46" s="254"/>
      <c r="B46" s="249"/>
      <c r="C46" s="267" t="s">
        <v>258</v>
      </c>
      <c r="D46" s="267" t="s">
        <v>691</v>
      </c>
      <c r="E46" s="267" t="s">
        <v>694</v>
      </c>
      <c r="F46" s="267" t="s">
        <v>693</v>
      </c>
      <c r="G46" s="267" t="s">
        <v>259</v>
      </c>
      <c r="H46" s="267" t="s">
        <v>261</v>
      </c>
      <c r="I46" s="245" t="s">
        <v>260</v>
      </c>
      <c r="J46" s="246" t="s">
        <v>262</v>
      </c>
    </row>
    <row r="47" spans="1:15">
      <c r="A47" s="255"/>
      <c r="B47" s="256">
        <v>1</v>
      </c>
      <c r="C47" s="257"/>
      <c r="D47" s="258"/>
      <c r="E47" s="258"/>
      <c r="F47" s="259" t="s">
        <v>1318</v>
      </c>
      <c r="G47" s="260" t="s">
        <v>630</v>
      </c>
      <c r="H47" s="260" t="s">
        <v>630</v>
      </c>
      <c r="I47" s="206"/>
      <c r="J47" s="266">
        <f>ROUND(MIN(w_1,MIN(CDE_EligibleAmount,VALUE(I47/2))),0)</f>
        <v>0</v>
      </c>
      <c r="O47" s="271">
        <f>MIN(I47,J47)</f>
        <v>0</v>
      </c>
    </row>
    <row r="48" spans="1:15">
      <c r="A48" s="255"/>
      <c r="B48" s="256">
        <v>2</v>
      </c>
      <c r="C48" s="257"/>
      <c r="D48" s="258"/>
      <c r="E48" s="258"/>
      <c r="F48" s="259" t="s">
        <v>1318</v>
      </c>
      <c r="G48" s="260"/>
      <c r="H48" s="260"/>
      <c r="I48" s="206"/>
      <c r="J48" s="266">
        <f>ROUND(MIN(w_1,MIN(CDE_EligibleAmount,VALUE(I48/2))),0)</f>
        <v>0</v>
      </c>
      <c r="O48" s="271">
        <f>MIN(I48,J48)</f>
        <v>0</v>
      </c>
    </row>
    <row r="49" spans="1:15">
      <c r="A49" s="255"/>
      <c r="B49" s="256">
        <v>3</v>
      </c>
      <c r="C49" s="257"/>
      <c r="D49" s="258"/>
      <c r="E49" s="258"/>
      <c r="F49" s="259" t="s">
        <v>1318</v>
      </c>
      <c r="G49" s="260"/>
      <c r="H49" s="260"/>
      <c r="I49" s="206"/>
      <c r="J49" s="266">
        <f>ROUND(MIN(w_1,MIN(CDE_EligibleAmount,VALUE(I49/2))),0)</f>
        <v>0</v>
      </c>
      <c r="O49" s="271">
        <f>MIN(I49,J49)</f>
        <v>0</v>
      </c>
    </row>
    <row r="50" spans="1:15">
      <c r="A50" s="261"/>
      <c r="B50" s="306">
        <f>B49+1</f>
        <v>4</v>
      </c>
      <c r="C50" s="257"/>
      <c r="D50" s="258"/>
      <c r="E50" s="258"/>
      <c r="F50" s="259" t="s">
        <v>1318</v>
      </c>
      <c r="G50" s="260"/>
      <c r="H50" s="260"/>
      <c r="I50" s="206"/>
      <c r="J50" s="266">
        <f>ROUND(MIN(w_1,MIN(CDE_EligibleAmount,VALUE(I50/2))),0)</f>
        <v>0</v>
      </c>
      <c r="O50" s="271">
        <f>MIN(I50,J50)</f>
        <v>0</v>
      </c>
    </row>
    <row r="51" spans="1:15">
      <c r="A51" s="208"/>
      <c r="B51" s="262"/>
      <c r="C51" s="281"/>
      <c r="D51" s="282"/>
      <c r="E51" s="282"/>
      <c r="F51" s="283"/>
      <c r="G51" s="284"/>
      <c r="I51" s="263"/>
      <c r="J51" s="264"/>
    </row>
    <row r="52" spans="1:15">
      <c r="A52" s="208"/>
      <c r="B52" s="265"/>
      <c r="C52" s="566" t="s">
        <v>270</v>
      </c>
      <c r="D52" s="567"/>
      <c r="E52" s="567"/>
      <c r="F52" s="567"/>
      <c r="G52" s="567"/>
      <c r="H52" s="568"/>
      <c r="I52" s="320">
        <f>SUM(Per5080G.DonationAmt)</f>
        <v>0</v>
      </c>
      <c r="J52" s="266">
        <f>ROUND(MIN(w_1,MIN(CDE_EligibleAmount,VALUE(I52/2))),0)</f>
        <v>0</v>
      </c>
    </row>
    <row r="53" spans="1:15"/>
    <row r="54" spans="1:15"/>
    <row r="55" spans="1:15"/>
    <row r="56" spans="1:15"/>
    <row r="57" spans="1:15">
      <c r="A57" s="10" t="s">
        <v>271</v>
      </c>
      <c r="B57" s="42" t="s">
        <v>1022</v>
      </c>
      <c r="C57" s="43"/>
      <c r="D57" s="268"/>
      <c r="E57" s="269"/>
      <c r="F57" s="269"/>
      <c r="G57" s="269"/>
      <c r="H57" s="270"/>
      <c r="I57" s="266">
        <f>Per5080G.TotDon100Percent+PerYES10080G.TotDon100Percent+PerNO5080G.TotDon100Percent+Per10080G.TotDon100Percent</f>
        <v>0</v>
      </c>
      <c r="J57" s="319">
        <f>ROUND(Per5080G.TotElig100Percent+PerYES10080G.TotElig100Percent+PerNO5080G.TotElig100Percent+Per10080G.TotElig100Percent,0)</f>
        <v>0</v>
      </c>
    </row>
    <row r="58" spans="1:15"/>
    <row r="59" spans="1:15"/>
    <row r="60" spans="1:15"/>
    <row r="61" spans="1:15" hidden="1"/>
    <row r="62" spans="1:15" hidden="1"/>
    <row r="63" spans="1:15" hidden="1"/>
    <row r="64" spans="1:15"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2:2" hidden="1"/>
    <row r="146" spans="2:2" hidden="1"/>
    <row r="147" spans="2:2" hidden="1"/>
    <row r="148" spans="2:2" hidden="1"/>
    <row r="149" spans="2:2" hidden="1"/>
    <row r="150" spans="2:2" hidden="1"/>
    <row r="151" spans="2:2" hidden="1"/>
    <row r="152" spans="2:2" hidden="1"/>
    <row r="153" spans="2:2" hidden="1"/>
    <row r="154" spans="2:2" hidden="1"/>
    <row r="155" spans="2:2" hidden="1"/>
    <row r="156" spans="2:2" hidden="1"/>
    <row r="157" spans="2:2" hidden="1">
      <c r="B157" t="s">
        <v>1318</v>
      </c>
    </row>
    <row r="158" spans="2:2" hidden="1">
      <c r="B158" t="s">
        <v>335</v>
      </c>
    </row>
    <row r="159" spans="2:2" hidden="1">
      <c r="B159" t="s">
        <v>336</v>
      </c>
    </row>
    <row r="160" spans="2:2" hidden="1">
      <c r="B160" t="s">
        <v>338</v>
      </c>
    </row>
    <row r="161" spans="2:2" hidden="1">
      <c r="B161" t="s">
        <v>341</v>
      </c>
    </row>
    <row r="162" spans="2:2" hidden="1">
      <c r="B162" t="s">
        <v>483</v>
      </c>
    </row>
    <row r="163" spans="2:2" hidden="1">
      <c r="B163" t="s">
        <v>485</v>
      </c>
    </row>
    <row r="164" spans="2:2" hidden="1">
      <c r="B164" t="s">
        <v>487</v>
      </c>
    </row>
    <row r="165" spans="2:2" hidden="1">
      <c r="B165" t="s">
        <v>489</v>
      </c>
    </row>
    <row r="166" spans="2:2" hidden="1">
      <c r="B166" t="s">
        <v>491</v>
      </c>
    </row>
    <row r="167" spans="2:2" hidden="1">
      <c r="B167" t="s">
        <v>493</v>
      </c>
    </row>
    <row r="168" spans="2:2" hidden="1">
      <c r="B168" t="s">
        <v>495</v>
      </c>
    </row>
    <row r="169" spans="2:2" hidden="1">
      <c r="B169" t="s">
        <v>498</v>
      </c>
    </row>
    <row r="170" spans="2:2" hidden="1">
      <c r="B170" t="s">
        <v>501</v>
      </c>
    </row>
    <row r="171" spans="2:2" hidden="1">
      <c r="B171" t="s">
        <v>504</v>
      </c>
    </row>
    <row r="172" spans="2:2" hidden="1">
      <c r="B172" t="s">
        <v>508</v>
      </c>
    </row>
    <row r="173" spans="2:2" hidden="1">
      <c r="B173" t="s">
        <v>512</v>
      </c>
    </row>
    <row r="174" spans="2:2" hidden="1">
      <c r="B174" t="s">
        <v>518</v>
      </c>
    </row>
    <row r="175" spans="2:2" hidden="1">
      <c r="B175" t="s">
        <v>521</v>
      </c>
    </row>
    <row r="176" spans="2:2" hidden="1">
      <c r="B176" t="s">
        <v>525</v>
      </c>
    </row>
    <row r="177" spans="2:2" hidden="1">
      <c r="B177" t="s">
        <v>529</v>
      </c>
    </row>
    <row r="178" spans="2:2" hidden="1">
      <c r="B178" t="s">
        <v>533</v>
      </c>
    </row>
    <row r="179" spans="2:2" hidden="1">
      <c r="B179" t="s">
        <v>539</v>
      </c>
    </row>
    <row r="180" spans="2:2" hidden="1">
      <c r="B180" t="s">
        <v>544</v>
      </c>
    </row>
    <row r="181" spans="2:2" hidden="1">
      <c r="B181" t="s">
        <v>549</v>
      </c>
    </row>
    <row r="182" spans="2:2" hidden="1">
      <c r="B182" t="s">
        <v>553</v>
      </c>
    </row>
    <row r="183" spans="2:2" hidden="1">
      <c r="B183" t="s">
        <v>556</v>
      </c>
    </row>
    <row r="184" spans="2:2" hidden="1">
      <c r="B184" t="s">
        <v>558</v>
      </c>
    </row>
    <row r="185" spans="2:2" hidden="1">
      <c r="B185" t="s">
        <v>560</v>
      </c>
    </row>
    <row r="186" spans="2:2" hidden="1">
      <c r="B186" t="s">
        <v>562</v>
      </c>
    </row>
    <row r="187" spans="2:2" hidden="1">
      <c r="B187" t="s">
        <v>564</v>
      </c>
    </row>
    <row r="188" spans="2:2" hidden="1">
      <c r="B188" t="s">
        <v>588</v>
      </c>
    </row>
    <row r="189" spans="2:2" hidden="1">
      <c r="B189" t="s">
        <v>589</v>
      </c>
    </row>
    <row r="190" spans="2:2" hidden="1">
      <c r="B190" t="s">
        <v>842</v>
      </c>
    </row>
    <row r="191" spans="2:2" hidden="1">
      <c r="B191" t="s">
        <v>843</v>
      </c>
    </row>
    <row r="192" spans="2:2" hidden="1">
      <c r="B192" t="s">
        <v>844</v>
      </c>
    </row>
    <row r="193" spans="2:2" hidden="1">
      <c r="B193" t="s">
        <v>590</v>
      </c>
    </row>
  </sheetData>
  <sheetProtection password="C88E" sheet="1" objects="1" scenarios="1"/>
  <mergeCells count="6">
    <mergeCell ref="C52:H52"/>
    <mergeCell ref="C1:E1"/>
    <mergeCell ref="C9:H9"/>
    <mergeCell ref="C22:H22"/>
    <mergeCell ref="C37:H37"/>
    <mergeCell ref="B2:F2"/>
  </mergeCells>
  <phoneticPr fontId="13" type="noConversion"/>
  <dataValidations count="10">
    <dataValidation type="whole" allowBlank="1" showErrorMessage="1" errorTitle="TotalDonationsUs80G" error="TotalDonationsUs80G  Non negative, no decimal, upto 99,999,999,999,999" sqref="I57">
      <formula1>0</formula1>
      <formula2>99999999999999</formula2>
    </dataValidation>
    <dataValidation type="whole" allowBlank="1" showErrorMessage="1" errorTitle="TotDon100Percent" error="TotDon100Percent  Non negative, no decimal, upto 99,999,999,999,999" sqref="I52:J52 I37:J37 I22:J22">
      <formula1>0</formula1>
      <formula2>99999999999999</formula2>
    </dataValidation>
    <dataValidation type="whole" allowBlank="1" showErrorMessage="1" errorTitle="DonationAmt" error="DonationAmt  Non negative, no decimal, upto 99,999,999,999,999" sqref="I4:J7 I17:J20 I32:J35 I47:J50">
      <formula1>0</formula1>
      <formula2>99999999999999</formula2>
    </dataValidation>
    <dataValidation type="list" allowBlank="1" showErrorMessage="1" errorTitle="StateCode" error="  Please select from list" sqref="F47:F50 F4:F7 F17:F20 F32:F35">
      <formula1>cmb_Per10080G.StateCode</formula1>
    </dataValidation>
    <dataValidation type="textLength" operator="equal" allowBlank="1" showErrorMessage="1" errorTitle="PinCode" error="PinCode  should be exactly 6 in Length " sqref="G4:G7 G47:G50 G32:G35 G17:G20">
      <formula1>6</formula1>
    </dataValidation>
    <dataValidation type="whole" allowBlank="1" showInputMessage="1" showErrorMessage="1" sqref="I9:J9">
      <formula1>0</formula1>
      <formula2>99999999999999</formula2>
    </dataValidation>
    <dataValidation type="textLength" operator="lessThanOrEqual" allowBlank="1" showErrorMessage="1" errorTitle="DoneeName" error="DoneeName  should not exceed 125 characters " sqref="C4:C7 C17:C20 C32:C35 C47:C50">
      <formula1>125</formula1>
    </dataValidation>
    <dataValidation type="textLength" operator="lessThanOrEqual" allowBlank="1" showErrorMessage="1" errorTitle="AddrDetail" error="AddrDetail  should not exceed 200 characters " sqref="D4:D7 D17:D20 D32:D35 D47:D50">
      <formula1>200</formula1>
    </dataValidation>
    <dataValidation type="textLength" operator="lessThanOrEqual" allowBlank="1" showErrorMessage="1" errorTitle="CityOrTownOrDistrict" error="CityOrTownOrDistrict  should not exceed 50  characters " sqref="E4:E7 E17:E20 E32:E35 E47:E50">
      <formula1>50</formula1>
    </dataValidation>
    <dataValidation type="textLength" operator="equal" allowBlank="1" showInputMessage="1" showErrorMessage="1" errorTitle="PAN of Donee" error="Enter VALID PAN " sqref="H4:H7 H17:H20 H32:H35 H47:H50">
      <formula1>10</formula1>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11284" r:id="rId3" name="cmdHelp"/>
    <control shapeId="11285" r:id="rId4" name="cmdValidate"/>
    <control shapeId="11286" r:id="rId5" name="cmdGenerate"/>
    <control shapeId="11287" r:id="rId6" name="cmdPrint"/>
    <control shapeId="11288" r:id="rId7" name="cmdPrev"/>
  </controls>
</worksheet>
</file>

<file path=xl/worksheets/sheet7.xml><?xml version="1.0" encoding="utf-8"?>
<worksheet xmlns="http://schemas.openxmlformats.org/spreadsheetml/2006/main" xmlns:r="http://schemas.openxmlformats.org/officeDocument/2006/relationships">
  <sheetPr codeName="Sheet5"/>
  <dimension ref="A1:AJ39"/>
  <sheetViews>
    <sheetView workbookViewId="0"/>
  </sheetViews>
  <sheetFormatPr defaultColWidth="0" defaultRowHeight="12.75" zeroHeight="1"/>
  <cols>
    <col min="1" max="1" width="5.140625" style="51" bestFit="1" customWidth="1"/>
    <col min="2" max="2" width="45" style="51" customWidth="1"/>
    <col min="3" max="3" width="10.5703125" style="51" customWidth="1"/>
    <col min="4" max="4" width="13.42578125" style="51" customWidth="1"/>
    <col min="5" max="5" width="14.5703125" style="51" customWidth="1"/>
    <col min="6" max="6" width="10.7109375" style="51" customWidth="1"/>
    <col min="7" max="16384" width="10.7109375" hidden="1"/>
  </cols>
  <sheetData>
    <row r="1" spans="1:36" ht="27">
      <c r="A1" s="61"/>
      <c r="B1" s="183" t="s">
        <v>55</v>
      </c>
      <c r="C1" s="54"/>
      <c r="D1" s="184" t="s">
        <v>570</v>
      </c>
    </row>
    <row r="2" spans="1:36">
      <c r="B2" s="5" t="s">
        <v>56</v>
      </c>
      <c r="M2">
        <f>IF(MID('Income Details'!sheet1.ResidentialStatus1,1,2)="NR",0,BP_E2)</f>
        <v>268884</v>
      </c>
      <c r="N2">
        <f>MAX(IncD.GrossTotIncome,0)</f>
        <v>284871</v>
      </c>
    </row>
    <row r="3" spans="1:36">
      <c r="A3" s="64" t="s">
        <v>57</v>
      </c>
      <c r="B3" s="572" t="s">
        <v>58</v>
      </c>
      <c r="C3" s="572"/>
      <c r="D3" s="572"/>
      <c r="E3" s="572"/>
      <c r="F3" s="96"/>
      <c r="M3" s="51">
        <f>ROUND(_sw1+IncD.NetAgriculturalIncome,-1)</f>
        <v>258780</v>
      </c>
      <c r="N3" s="51">
        <f>MAX(w_1-w1deductions,0)</f>
        <v>258783</v>
      </c>
      <c r="O3" s="51">
        <f>IncD.TotalChapVIADeductions</f>
        <v>26088</v>
      </c>
      <c r="P3" s="51">
        <v>0</v>
      </c>
      <c r="Q3" s="51">
        <f>IncD.GrossTotIncome-w1deductions</f>
        <v>258783</v>
      </c>
      <c r="R3" s="51">
        <v>0</v>
      </c>
      <c r="S3" s="51"/>
      <c r="T3" s="51"/>
      <c r="U3" s="51"/>
    </row>
    <row r="4" spans="1:36">
      <c r="A4" s="64" t="s">
        <v>59</v>
      </c>
      <c r="B4" s="572" t="s">
        <v>60</v>
      </c>
      <c r="C4" s="572"/>
      <c r="D4" s="572"/>
      <c r="E4" s="572"/>
      <c r="F4" s="96"/>
      <c r="M4" s="51">
        <f>_sw2</f>
        <v>0</v>
      </c>
      <c r="N4" s="51">
        <v>0</v>
      </c>
      <c r="O4" s="51"/>
      <c r="P4" s="51"/>
      <c r="Q4" s="51">
        <v>0</v>
      </c>
      <c r="R4" s="51">
        <v>2.2714011353141435E-2</v>
      </c>
      <c r="S4" s="51"/>
      <c r="T4" s="51"/>
      <c r="U4" s="51"/>
      <c r="AB4" s="5"/>
      <c r="AC4" s="5"/>
      <c r="AD4" s="5"/>
      <c r="AE4" s="5"/>
      <c r="AF4" s="5"/>
      <c r="AG4" s="5"/>
      <c r="AH4" s="5"/>
      <c r="AI4" s="5"/>
      <c r="AJ4" s="5"/>
    </row>
    <row r="5" spans="1:36">
      <c r="A5" s="64" t="s">
        <v>61</v>
      </c>
      <c r="B5" s="572" t="s">
        <v>62</v>
      </c>
      <c r="C5" s="572"/>
      <c r="D5" s="572"/>
      <c r="E5" s="572"/>
      <c r="F5" s="96"/>
      <c r="M5" s="51">
        <f>_sw1+_sw2+_sw3</f>
        <v>258783</v>
      </c>
      <c r="N5" s="51"/>
      <c r="O5" s="51"/>
      <c r="P5" s="51"/>
      <c r="Q5" s="51">
        <f>IF(Calc_NetSur&gt;0,usincome*Sur_Rate,0)</f>
        <v>0</v>
      </c>
      <c r="R5" s="51">
        <f>IF(Calc_NetSur&gt;0,avgratetax,0)</f>
        <v>0</v>
      </c>
      <c r="S5" s="51"/>
      <c r="T5" s="51"/>
      <c r="U5" s="51"/>
      <c r="AB5" s="5"/>
      <c r="AC5" s="5"/>
      <c r="AD5" s="5"/>
      <c r="AE5" s="5"/>
      <c r="AF5" s="5"/>
      <c r="AG5" s="5"/>
      <c r="AH5" s="5"/>
      <c r="AI5" s="5"/>
      <c r="AJ5" s="5"/>
    </row>
    <row r="6" spans="1:36">
      <c r="A6" s="64" t="s">
        <v>63</v>
      </c>
      <c r="B6" s="572" t="s">
        <v>64</v>
      </c>
      <c r="C6" s="572"/>
      <c r="D6" s="572"/>
      <c r="E6" s="572"/>
      <c r="F6" s="96"/>
      <c r="M6" s="51">
        <f>IncD.GrossTotIncome - IncD.TDS - IncD.NetTaxLiability</f>
        <v>235787</v>
      </c>
      <c r="N6" s="51"/>
      <c r="O6" s="51"/>
      <c r="P6" s="51"/>
      <c r="Q6" s="51">
        <f>usincome*0.03</f>
        <v>0</v>
      </c>
      <c r="R6" s="51">
        <f>0.03</f>
        <v>0.03</v>
      </c>
      <c r="S6" s="51"/>
      <c r="T6" s="51"/>
      <c r="U6" s="51"/>
      <c r="AB6" s="200"/>
      <c r="AC6" s="200"/>
      <c r="AD6" s="200"/>
      <c r="AE6" s="201"/>
      <c r="AF6" s="200"/>
      <c r="AG6" s="200"/>
      <c r="AH6" s="200"/>
      <c r="AI6" s="201"/>
      <c r="AJ6" s="200"/>
    </row>
    <row r="7" spans="1:36">
      <c r="A7" s="64" t="s">
        <v>65</v>
      </c>
      <c r="B7" s="572" t="s">
        <v>66</v>
      </c>
      <c r="C7" s="572"/>
      <c r="D7" s="572"/>
      <c r="E7" s="572"/>
      <c r="F7" s="96"/>
      <c r="M7" s="51">
        <f>IF(IncD.GrossTotIncome=0,0,(GTLS - IncD.TDS-IncD.TCS -IncD.Section90and91-IncD.Section89)*((MAX(0,IncD.GrossTotIncome-(BP_E2NRI)))/IncD.GrossTotIncome))</f>
        <v>-2075.0982444685492</v>
      </c>
      <c r="N7" s="51"/>
      <c r="O7" s="51"/>
      <c r="P7" s="51"/>
      <c r="Q7" s="51">
        <f>edcess_usincome+sur_usincome+usincome+(avgratetax)</f>
        <v>2.2714011353141435E-2</v>
      </c>
      <c r="R7" s="51">
        <f>GTLR_44AD</f>
        <v>0</v>
      </c>
      <c r="S7" s="51"/>
      <c r="T7" s="51"/>
      <c r="U7" s="51"/>
      <c r="AB7" s="200"/>
      <c r="AC7" s="200"/>
      <c r="AD7" s="200"/>
      <c r="AE7" s="200"/>
      <c r="AF7" s="200"/>
      <c r="AG7" s="200"/>
      <c r="AH7" s="200"/>
      <c r="AI7" s="200"/>
      <c r="AJ7" s="200"/>
    </row>
    <row r="8" spans="1:36">
      <c r="M8" s="51"/>
      <c r="N8" s="51"/>
      <c r="O8" s="51"/>
      <c r="P8" s="51"/>
      <c r="Q8" s="51">
        <f>ROUNDDOWN(ROUND(R8,0)/100,0)*100</f>
        <v>0</v>
      </c>
      <c r="R8" s="51">
        <f>MAX(GTLR_44AD-(IncD.TDS +IncD.TCS+ IncD.Section89 + IncD.Section90and91+ded_usincome_44AD),0)</f>
        <v>0</v>
      </c>
      <c r="S8" s="51"/>
      <c r="T8" s="51"/>
      <c r="U8" s="51"/>
      <c r="AB8" s="200"/>
      <c r="AC8" s="200"/>
      <c r="AD8" s="200"/>
      <c r="AE8" s="200"/>
      <c r="AF8" s="200"/>
      <c r="AG8" s="200"/>
      <c r="AH8" s="200"/>
      <c r="AI8" s="200"/>
      <c r="AJ8" s="200"/>
    </row>
    <row r="9" spans="1:36">
      <c r="M9" s="51"/>
      <c r="N9" s="51"/>
      <c r="O9" s="51"/>
      <c r="P9" s="51"/>
      <c r="Q9" s="51">
        <v>0</v>
      </c>
      <c r="R9" s="51">
        <f>_Qtr1</f>
        <v>0</v>
      </c>
      <c r="S9" s="51"/>
      <c r="T9" s="51">
        <f>MAX(ROUNDDOWN((g_1-h_1)/100,0)*100*0.03,0)</f>
        <v>0</v>
      </c>
      <c r="U9" s="51"/>
      <c r="AB9" s="200"/>
      <c r="AC9" s="200"/>
      <c r="AD9" s="200"/>
      <c r="AE9" s="200"/>
      <c r="AF9" s="200"/>
      <c r="AG9" s="200"/>
      <c r="AH9" s="200"/>
      <c r="AI9" s="200"/>
      <c r="AJ9" s="200"/>
    </row>
    <row r="10" spans="1:36">
      <c r="I10">
        <v>15987</v>
      </c>
      <c r="M10" s="51"/>
      <c r="N10" s="51"/>
      <c r="O10" s="51"/>
      <c r="P10" s="196">
        <f>ROUND(avgratetax,0)</f>
        <v>0</v>
      </c>
      <c r="Q10" s="51">
        <f>(0.3*calc_G)</f>
        <v>0</v>
      </c>
      <c r="R10" s="51">
        <f>_Qtr2</f>
        <v>0</v>
      </c>
      <c r="S10" s="196">
        <f>SUM(U10:U13)</f>
        <v>0</v>
      </c>
      <c r="T10" s="51">
        <f>ROUND(MAX(((g_2-(h_1+h_2)))*0.03,0),0)</f>
        <v>0</v>
      </c>
      <c r="U10" s="196">
        <v>0</v>
      </c>
      <c r="AB10" s="200"/>
      <c r="AC10" s="200"/>
      <c r="AD10" s="200"/>
      <c r="AE10" s="200"/>
      <c r="AF10" s="200"/>
      <c r="AG10" s="200"/>
      <c r="AH10" s="200"/>
      <c r="AI10" s="200"/>
      <c r="AJ10" s="200"/>
    </row>
    <row r="11" spans="1:36">
      <c r="I11">
        <v>0</v>
      </c>
      <c r="M11" s="51"/>
      <c r="N11" s="51"/>
      <c r="O11" s="51"/>
      <c r="P11" s="51"/>
      <c r="Q11" s="51">
        <f>SUM(S10:S11)+(0.6*calc_G)</f>
        <v>0</v>
      </c>
      <c r="R11" s="51">
        <f>_Qtr3</f>
        <v>0</v>
      </c>
      <c r="S11" s="51">
        <v>0</v>
      </c>
      <c r="T11" s="51">
        <f>ROUND(MAX((g_3-(h_1+h_2+h_3))*0.03,0),0)</f>
        <v>0</v>
      </c>
      <c r="U11" s="196">
        <v>0</v>
      </c>
      <c r="AB11" s="200"/>
      <c r="AC11" s="200"/>
      <c r="AD11" s="200"/>
      <c r="AE11" s="200"/>
      <c r="AF11" s="200"/>
      <c r="AG11" s="200"/>
      <c r="AH11" s="200"/>
      <c r="AI11" s="200"/>
      <c r="AJ11" s="200"/>
    </row>
    <row r="12" spans="1:36" ht="14.25">
      <c r="A12" s="49" t="s">
        <v>67</v>
      </c>
      <c r="B12" s="185" t="s">
        <v>68</v>
      </c>
      <c r="C12" s="186" t="s">
        <v>69</v>
      </c>
      <c r="D12" s="49" t="s">
        <v>70</v>
      </c>
      <c r="I12">
        <v>-43030</v>
      </c>
      <c r="M12" s="51"/>
      <c r="N12" s="51"/>
      <c r="O12" s="51"/>
      <c r="P12" s="51"/>
      <c r="Q12" s="51">
        <f>SUM(S10:S12)+calc_G</f>
        <v>0</v>
      </c>
      <c r="R12" s="51">
        <f>_Qtr4</f>
        <v>0</v>
      </c>
      <c r="S12" s="51">
        <v>0</v>
      </c>
      <c r="T12" s="51">
        <f>ROUND(MAX((g_4-(h_1+h_2+h_3+h_4))*0.01,0),0)</f>
        <v>0</v>
      </c>
      <c r="U12" s="196">
        <v>0</v>
      </c>
      <c r="AB12" s="200"/>
      <c r="AC12" s="200"/>
      <c r="AD12" s="200"/>
      <c r="AE12" s="200"/>
      <c r="AF12" s="200"/>
      <c r="AG12" s="200"/>
      <c r="AH12" s="200"/>
      <c r="AI12" s="200"/>
      <c r="AJ12" s="200"/>
    </row>
    <row r="13" spans="1:36">
      <c r="A13" s="49">
        <v>1</v>
      </c>
      <c r="B13" s="73" t="s">
        <v>71</v>
      </c>
      <c r="C13" s="187">
        <f>IncD.GrossTotIncome</f>
        <v>284871</v>
      </c>
      <c r="D13" s="188">
        <f>allincomes</f>
        <v>258783</v>
      </c>
      <c r="I13">
        <v>0</v>
      </c>
      <c r="M13" s="51"/>
      <c r="N13" s="51"/>
      <c r="O13" s="51"/>
      <c r="P13" s="51"/>
      <c r="Q13" s="51">
        <f>SUM(S10:S13)+calc_G</f>
        <v>0</v>
      </c>
      <c r="R13" s="51">
        <f>_Qtr5</f>
        <v>0</v>
      </c>
      <c r="S13" s="51">
        <v>0</v>
      </c>
      <c r="T13" s="51">
        <f>MAX((g_5-(h_1+h_2+h_3+h_4+h_5))*0,0)</f>
        <v>0</v>
      </c>
      <c r="U13" s="196">
        <v>0</v>
      </c>
      <c r="AB13" s="200"/>
      <c r="AC13" s="200"/>
      <c r="AD13" s="200"/>
      <c r="AE13" s="200"/>
      <c r="AF13" s="200"/>
      <c r="AG13" s="200"/>
      <c r="AH13" s="200"/>
      <c r="AI13" s="200"/>
      <c r="AJ13" s="200"/>
    </row>
    <row r="14" spans="1:36" ht="38.25">
      <c r="A14" s="49">
        <v>2</v>
      </c>
      <c r="B14" s="73" t="s">
        <v>72</v>
      </c>
      <c r="C14" s="187"/>
      <c r="D14" s="188">
        <v>0</v>
      </c>
      <c r="M14" s="197"/>
      <c r="N14" s="51"/>
      <c r="O14" s="51"/>
      <c r="P14" s="51"/>
      <c r="Q14" s="51"/>
      <c r="R14" s="51"/>
      <c r="S14" s="51"/>
      <c r="T14" s="51">
        <f>SUM(T9:T13)</f>
        <v>0</v>
      </c>
      <c r="U14" s="51"/>
      <c r="AB14" s="200"/>
      <c r="AC14" s="200"/>
      <c r="AD14" s="200"/>
      <c r="AE14" s="200"/>
      <c r="AF14" s="200"/>
      <c r="AG14" s="200"/>
      <c r="AH14" s="200"/>
      <c r="AI14" s="200"/>
      <c r="AJ14" s="200"/>
    </row>
    <row r="15" spans="1:36">
      <c r="A15" s="49">
        <v>3</v>
      </c>
      <c r="B15" s="73" t="s">
        <v>73</v>
      </c>
      <c r="C15" s="187">
        <f>IncD.NetAgriculturalIncome</f>
        <v>0</v>
      </c>
      <c r="D15" s="188">
        <f>IF(C15&gt;5000,C15,0)</f>
        <v>0</v>
      </c>
      <c r="AB15" s="200"/>
      <c r="AC15" s="200"/>
      <c r="AD15" s="200"/>
      <c r="AE15" s="200"/>
      <c r="AF15" s="200"/>
      <c r="AG15" s="200"/>
      <c r="AH15" s="200"/>
      <c r="AI15" s="200"/>
      <c r="AJ15" s="200"/>
    </row>
    <row r="16" spans="1:36" ht="25.5">
      <c r="A16" s="49">
        <v>4</v>
      </c>
      <c r="B16" s="73" t="s">
        <v>74</v>
      </c>
      <c r="C16" s="187">
        <f>IncD.AggregateIncome</f>
        <v>258780</v>
      </c>
      <c r="D16" s="189">
        <f>AggregateInc</f>
        <v>258780</v>
      </c>
      <c r="AB16" s="200"/>
      <c r="AC16" s="200"/>
      <c r="AD16" s="200"/>
      <c r="AE16" s="200"/>
      <c r="AF16" s="200"/>
      <c r="AG16" s="200"/>
      <c r="AH16" s="200"/>
      <c r="AI16" s="200"/>
      <c r="AJ16" s="200"/>
    </row>
    <row r="17" spans="1:36">
      <c r="A17" s="49">
        <v>5</v>
      </c>
      <c r="B17" s="49" t="s">
        <v>75</v>
      </c>
      <c r="C17" s="190">
        <f>IncD.TaxOnAggregateInc</f>
        <v>283251</v>
      </c>
      <c r="D17" s="189">
        <v>5878</v>
      </c>
      <c r="AB17" s="5"/>
      <c r="AC17" s="5"/>
      <c r="AD17" s="5"/>
      <c r="AE17" s="5"/>
      <c r="AF17" s="5"/>
      <c r="AG17" s="5"/>
      <c r="AH17" s="5"/>
      <c r="AI17" s="5"/>
      <c r="AJ17" s="5"/>
    </row>
    <row r="18" spans="1:36">
      <c r="A18" s="49">
        <v>6</v>
      </c>
      <c r="B18" s="49" t="s">
        <v>76</v>
      </c>
      <c r="C18" s="190">
        <f>IncD.RebateOnAgriInc</f>
        <v>0</v>
      </c>
      <c r="D18" s="189">
        <v>0</v>
      </c>
    </row>
    <row r="19" spans="1:36">
      <c r="A19" s="49">
        <v>7</v>
      </c>
      <c r="B19" s="49" t="s">
        <v>77</v>
      </c>
      <c r="C19" s="190"/>
      <c r="D19" s="189">
        <v>0</v>
      </c>
    </row>
    <row r="20" spans="1:36">
      <c r="A20" s="49">
        <v>8</v>
      </c>
      <c r="B20" s="49" t="s">
        <v>78</v>
      </c>
      <c r="C20" s="190"/>
      <c r="D20" s="189">
        <v>0</v>
      </c>
    </row>
    <row r="21" spans="1:36">
      <c r="A21" s="49">
        <v>9</v>
      </c>
      <c r="B21" s="49" t="s">
        <v>79</v>
      </c>
      <c r="C21" s="190">
        <f>IncD.TotalTaxPayable</f>
        <v>5878</v>
      </c>
      <c r="D21" s="189">
        <f>TXN_Calc+Calc_SplRate-Rebate_AgriInc_Calc</f>
        <v>5878</v>
      </c>
    </row>
    <row r="22" spans="1:36" ht="15.75">
      <c r="A22" s="49">
        <v>10</v>
      </c>
      <c r="B22" s="49" t="s">
        <v>80</v>
      </c>
      <c r="C22" s="187"/>
      <c r="D22" s="189">
        <v>0</v>
      </c>
      <c r="M22" s="51"/>
      <c r="N22" s="51"/>
      <c r="O22" s="51"/>
      <c r="P22" s="51"/>
      <c r="Q22" s="51"/>
      <c r="R22" s="51"/>
      <c r="S22" s="51"/>
      <c r="T22" s="51"/>
      <c r="U22" s="203"/>
      <c r="V22" s="203"/>
      <c r="W22" s="51"/>
      <c r="X22" s="51"/>
    </row>
    <row r="23" spans="1:36">
      <c r="A23" s="49">
        <v>11</v>
      </c>
      <c r="B23" s="49" t="s">
        <v>81</v>
      </c>
      <c r="C23" s="187"/>
      <c r="D23" s="189">
        <v>0</v>
      </c>
      <c r="M23" s="202"/>
      <c r="N23" s="51"/>
      <c r="O23" s="51"/>
      <c r="P23" s="51"/>
      <c r="Q23" s="51"/>
      <c r="R23" s="51"/>
      <c r="S23" s="51"/>
      <c r="T23" s="51"/>
      <c r="U23" s="51"/>
      <c r="V23" s="51"/>
      <c r="W23" s="51"/>
      <c r="X23" s="51"/>
    </row>
    <row r="24" spans="1:36">
      <c r="A24" s="49">
        <v>12</v>
      </c>
      <c r="B24" s="49" t="s">
        <v>82</v>
      </c>
      <c r="C24" s="190">
        <f>IncD.SurchargeOnTaxPayable</f>
        <v>0</v>
      </c>
      <c r="D24" s="189">
        <v>0</v>
      </c>
      <c r="M24" s="202"/>
      <c r="N24" s="51"/>
      <c r="O24" s="51"/>
      <c r="P24" s="51"/>
      <c r="Q24" s="51"/>
      <c r="R24" s="51"/>
      <c r="S24" s="51"/>
      <c r="T24" s="51"/>
      <c r="U24" s="51"/>
      <c r="V24" s="51"/>
      <c r="W24" s="51"/>
      <c r="X24" s="51"/>
    </row>
    <row r="25" spans="1:36">
      <c r="A25" s="49">
        <v>13</v>
      </c>
      <c r="B25" s="49" t="s">
        <v>83</v>
      </c>
      <c r="C25" s="190">
        <f>IncD.EducationCess</f>
        <v>176</v>
      </c>
      <c r="D25" s="189">
        <v>176</v>
      </c>
      <c r="M25" s="202"/>
      <c r="N25" s="51"/>
      <c r="O25" s="51"/>
      <c r="P25" s="51"/>
      <c r="Q25" s="51"/>
      <c r="R25" s="51"/>
      <c r="S25" s="51"/>
      <c r="T25" s="51"/>
      <c r="U25" s="51"/>
      <c r="V25" s="51"/>
      <c r="W25" s="51"/>
      <c r="X25" s="51"/>
    </row>
    <row r="26" spans="1:36">
      <c r="A26" s="49">
        <v>14</v>
      </c>
      <c r="B26" s="49" t="s">
        <v>84</v>
      </c>
      <c r="C26" s="190">
        <f>IncD.GrossTaxLiability</f>
        <v>6054</v>
      </c>
      <c r="D26" s="189">
        <f>D21+Calc_NetSur+Calc_ED</f>
        <v>6054</v>
      </c>
      <c r="M26" s="202"/>
      <c r="N26" s="51"/>
      <c r="O26" s="51"/>
      <c r="P26" s="51"/>
      <c r="Q26" s="51"/>
      <c r="R26" s="51"/>
      <c r="S26" s="51"/>
      <c r="T26" s="51"/>
      <c r="U26" s="51"/>
      <c r="V26" s="51"/>
      <c r="W26" s="51"/>
      <c r="X26" s="51"/>
    </row>
    <row r="27" spans="1:36">
      <c r="A27" s="96"/>
      <c r="B27" s="96"/>
      <c r="C27" s="191"/>
      <c r="D27" s="192"/>
      <c r="M27" s="202"/>
      <c r="N27" s="51"/>
      <c r="O27" s="51"/>
      <c r="P27" s="51"/>
      <c r="Q27" s="51"/>
      <c r="R27" s="51"/>
      <c r="S27" s="51"/>
      <c r="T27" s="51"/>
      <c r="U27" s="51"/>
      <c r="V27" s="51"/>
      <c r="W27" s="51"/>
      <c r="X27" s="51"/>
    </row>
    <row r="28" spans="1:36">
      <c r="C28" s="193"/>
      <c r="M28" s="202"/>
      <c r="N28" s="51"/>
      <c r="O28" s="51"/>
      <c r="P28" s="51"/>
      <c r="Q28" s="51"/>
      <c r="R28" s="51"/>
      <c r="S28" s="51"/>
      <c r="T28" s="51"/>
      <c r="U28" s="51"/>
      <c r="V28" s="51"/>
      <c r="W28" s="51"/>
      <c r="X28" s="51"/>
    </row>
    <row r="29" spans="1:36">
      <c r="A29" s="49" t="s">
        <v>67</v>
      </c>
      <c r="B29" s="41" t="s">
        <v>85</v>
      </c>
      <c r="C29" s="49" t="s">
        <v>69</v>
      </c>
      <c r="D29" s="49" t="s">
        <v>70</v>
      </c>
      <c r="M29" s="51"/>
      <c r="N29" s="51"/>
      <c r="O29" s="51"/>
      <c r="P29" s="51"/>
      <c r="Q29" s="51"/>
      <c r="R29" s="51"/>
      <c r="S29" s="51"/>
      <c r="T29" s="51"/>
      <c r="U29" s="51"/>
      <c r="V29" s="51"/>
      <c r="W29" s="51"/>
      <c r="X29" s="51"/>
    </row>
    <row r="30" spans="1:36">
      <c r="A30" s="49">
        <v>14</v>
      </c>
      <c r="B30" s="194" t="s">
        <v>86</v>
      </c>
      <c r="C30" s="195" t="s">
        <v>1383</v>
      </c>
      <c r="D30" s="49" t="s">
        <v>87</v>
      </c>
      <c r="M30" s="197"/>
      <c r="N30" s="51"/>
      <c r="O30" s="51"/>
      <c r="P30" s="51"/>
      <c r="Q30" s="51"/>
      <c r="R30" s="51"/>
      <c r="S30" s="51"/>
      <c r="T30" s="51"/>
      <c r="U30" s="51"/>
      <c r="V30" s="51"/>
      <c r="W30" s="51"/>
      <c r="X30" s="51"/>
    </row>
    <row r="31" spans="1:36" ht="15.75">
      <c r="A31" s="49">
        <v>15</v>
      </c>
      <c r="B31" s="194" t="s">
        <v>91</v>
      </c>
      <c r="C31" s="221" t="str">
        <f ca="1">CONCATENATE(YEAR(TODAY()),"-",IF(MONTH(TODAY())&lt;10,"0",""),MONTH(TODAY()),"-",IF(DAY(TODAY())&lt;10,"0",""),DAY(TODAY()))</f>
        <v>2014-03-16</v>
      </c>
      <c r="D31" s="49" t="s">
        <v>87</v>
      </c>
      <c r="M31" s="51" t="s">
        <v>96</v>
      </c>
      <c r="N31" s="51" t="s">
        <v>97</v>
      </c>
      <c r="O31" s="51" t="s">
        <v>98</v>
      </c>
      <c r="P31" s="51" t="s">
        <v>99</v>
      </c>
      <c r="Q31" s="51"/>
      <c r="R31" s="51"/>
      <c r="S31" s="51"/>
      <c r="T31" s="51" t="s">
        <v>100</v>
      </c>
      <c r="U31" s="198" t="s">
        <v>101</v>
      </c>
      <c r="V31" s="199" t="s">
        <v>102</v>
      </c>
      <c r="W31" s="51" t="s">
        <v>103</v>
      </c>
      <c r="X31" s="51" t="s">
        <v>104</v>
      </c>
    </row>
    <row r="32" spans="1:36">
      <c r="A32" s="49">
        <v>16</v>
      </c>
      <c r="B32" s="194" t="s">
        <v>92</v>
      </c>
      <c r="C32" s="195" t="s">
        <v>536</v>
      </c>
      <c r="D32" s="49" t="s">
        <v>87</v>
      </c>
      <c r="M32" s="202">
        <f>MAX(0, 10 / 100 * (AggregateInc - 200000)) + MAX(0, 10 / 100 * (AggregateInc - 500000)) + MAX(0, 10 / 100 * (AggregateInc - 1000000))</f>
        <v>5878</v>
      </c>
      <c r="N32" s="51">
        <v>200000</v>
      </c>
      <c r="O32" s="51">
        <f t="shared" ref="O32:O39" si="0">IF(IncD.NetAgriculturalIncome&gt;5000,IncD.NetAgriculturalIncome + N32,N32)</f>
        <v>200000</v>
      </c>
      <c r="P32" s="51">
        <f>MIN(MAX(0, 10 / 100 * (O32 - 200000)) + MAX(0, 10 / 100 * (O32 - 500000)) + MAX(0, 10 / 100 * (O32 - 1000000)),Res_M_TXN)</f>
        <v>0</v>
      </c>
      <c r="Q32" s="51">
        <v>1000000</v>
      </c>
      <c r="R32" s="51">
        <v>0</v>
      </c>
      <c r="S32" s="51">
        <f t="shared" ref="S32:S39" si="1">IF(TI&gt;Sur_limit,Sur_Rate*(M32+Calc_SplRate -P32),0)</f>
        <v>0</v>
      </c>
      <c r="T32" s="51">
        <f t="shared" ref="T32:T39" si="2">IF(TI&gt;Sur_limit,Sur_limit*(M32+Calc_SplRate -P32)/TI,0)</f>
        <v>0</v>
      </c>
      <c r="U32" s="51">
        <f t="shared" ref="U32:U39" si="3">IF(TI&gt;Sur_limit,ROUND(MAX((M32+Calc_SplRate -P32+S32-T32)-(MAX(TI-Sur_limit,0)),0),0),0)</f>
        <v>0</v>
      </c>
      <c r="V32" s="51">
        <f>MAX(0,S32-U32)</f>
        <v>0</v>
      </c>
      <c r="W32" s="51">
        <f t="shared" ref="W32:W39" si="4">ROUND(MAX((M32+Calc_SplRate -P32+S32-U32),0)*0.03,0)</f>
        <v>176</v>
      </c>
      <c r="X32" s="51">
        <f t="shared" ref="X32:X39" si="5">IF(TI&gt;0,(M32+Calc_SplRate -U32)/TI,0)</f>
        <v>2.2714011353141435E-2</v>
      </c>
    </row>
    <row r="33" spans="1:24">
      <c r="A33" s="49">
        <v>17</v>
      </c>
      <c r="B33" s="49" t="s">
        <v>93</v>
      </c>
      <c r="C33" s="190">
        <f>IncD.IntrstPayUs234A</f>
        <v>0</v>
      </c>
      <c r="D33" s="189">
        <v>0</v>
      </c>
      <c r="M33" s="202">
        <f>MAX(0, 10 / 100 * (AggregateInc - 200000)) + MAX(0, 10 / 100 * (AggregateInc - 500000)) + MAX(0, 10 / 100 * (AggregateInc - 1000000))</f>
        <v>5878</v>
      </c>
      <c r="N33" s="51">
        <v>200000</v>
      </c>
      <c r="O33" s="51">
        <f t="shared" si="0"/>
        <v>200000</v>
      </c>
      <c r="P33" s="51">
        <f>MIN(MAX(0, 10 / 100 * (O33 - 200000)) + MAX(0, 10 / 100 * (O33 - 500000)) + MAX(0, 10 / 100 * (O33 - 1000000)),Res_F_TXN)</f>
        <v>0</v>
      </c>
      <c r="Q33" s="51">
        <v>1000000</v>
      </c>
      <c r="R33" s="51">
        <v>0</v>
      </c>
      <c r="S33" s="51">
        <f t="shared" si="1"/>
        <v>0</v>
      </c>
      <c r="T33" s="51">
        <f t="shared" si="2"/>
        <v>0</v>
      </c>
      <c r="U33" s="51">
        <f t="shared" si="3"/>
        <v>0</v>
      </c>
      <c r="V33" s="51">
        <f t="shared" ref="V33:V39" si="6">MAX(0,S33-U33)</f>
        <v>0</v>
      </c>
      <c r="W33" s="51">
        <f t="shared" si="4"/>
        <v>176</v>
      </c>
      <c r="X33" s="51">
        <f t="shared" si="5"/>
        <v>2.2714011353141435E-2</v>
      </c>
    </row>
    <row r="34" spans="1:24">
      <c r="A34" s="49">
        <v>18</v>
      </c>
      <c r="B34" s="49" t="s">
        <v>94</v>
      </c>
      <c r="C34" s="190">
        <f>IncD.IntrstPayUs234B</f>
        <v>0</v>
      </c>
      <c r="D34" s="189">
        <v>0</v>
      </c>
      <c r="M34" s="202">
        <f>MAX(0, 10 / 100 * (AggregateInc - 250000)) + MAX(0, 10 / 100 * (AggregateInc - 500000)) + MAX(0, 10 / 100 * (AggregateInc - 1000000))</f>
        <v>878</v>
      </c>
      <c r="N34" s="51">
        <v>250000</v>
      </c>
      <c r="O34" s="51">
        <f t="shared" si="0"/>
        <v>250000</v>
      </c>
      <c r="P34" s="51">
        <f>MIN(MAX(0, 10 / 100 * (O34 - 250000)) + MAX(0, 10 / 100 * (O34 - 500000)) + MAX(0, 10 / 100 * (O34 - 1000000)),RES_senior)</f>
        <v>0</v>
      </c>
      <c r="Q34" s="51">
        <v>1000000</v>
      </c>
      <c r="R34" s="51">
        <v>0</v>
      </c>
      <c r="S34" s="51">
        <f t="shared" si="1"/>
        <v>0</v>
      </c>
      <c r="T34" s="51">
        <f t="shared" si="2"/>
        <v>0</v>
      </c>
      <c r="U34" s="51">
        <f t="shared" si="3"/>
        <v>0</v>
      </c>
      <c r="V34" s="51">
        <f t="shared" si="6"/>
        <v>0</v>
      </c>
      <c r="W34" s="51">
        <f t="shared" si="4"/>
        <v>26</v>
      </c>
      <c r="X34" s="51">
        <f t="shared" si="5"/>
        <v>3.3928040095369478E-3</v>
      </c>
    </row>
    <row r="35" spans="1:24">
      <c r="A35" s="49">
        <v>19</v>
      </c>
      <c r="B35" s="49" t="s">
        <v>95</v>
      </c>
      <c r="C35" s="190">
        <f>IncD.IntrstPayUs234C</f>
        <v>0</v>
      </c>
      <c r="D35" s="189">
        <v>0</v>
      </c>
      <c r="M35" s="202">
        <f>MAX(0, 10 / 100 * (AggregateInc - 200000)) + MAX(0, 10 / 100 * (AggregateInc - 500000)) + MAX(0, 10 / 100 * (AggregateInc - 1000000))</f>
        <v>5878</v>
      </c>
      <c r="N35" s="51">
        <v>200000</v>
      </c>
      <c r="O35" s="51">
        <f t="shared" si="0"/>
        <v>200000</v>
      </c>
      <c r="P35" s="51">
        <f>MIN(MAX(0, 10 / 100 * (O35 - 200000)) + MAX(0, 10 / 100 * (O35 - 500000)) + MAX(0, 10 / 100 * (O35 - 1000000)),NRI)</f>
        <v>0</v>
      </c>
      <c r="Q35" s="51">
        <v>1000000</v>
      </c>
      <c r="R35" s="51">
        <v>0</v>
      </c>
      <c r="S35" s="51">
        <f t="shared" si="1"/>
        <v>0</v>
      </c>
      <c r="T35" s="51">
        <f t="shared" si="2"/>
        <v>0</v>
      </c>
      <c r="U35" s="51">
        <f t="shared" si="3"/>
        <v>0</v>
      </c>
      <c r="V35" s="51">
        <f t="shared" si="6"/>
        <v>0</v>
      </c>
      <c r="W35" s="51">
        <f t="shared" si="4"/>
        <v>176</v>
      </c>
      <c r="X35" s="51">
        <f t="shared" si="5"/>
        <v>2.2714011353141435E-2</v>
      </c>
    </row>
    <row r="36" spans="1:24">
      <c r="M36" s="202">
        <f>MAX(0, 10 / 100 * (AggregateInc - 200000)) + MAX(0, 10 / 100 * (AggregateInc - 500000)) + MAX(0, 10 / 100 * (AggregateInc - 1000000))</f>
        <v>5878</v>
      </c>
      <c r="N36" s="51">
        <v>200000</v>
      </c>
      <c r="O36" s="51">
        <f t="shared" si="0"/>
        <v>200000</v>
      </c>
      <c r="P36" s="51">
        <f>MIN(MAX(0, 10 / 100 * (O36 - 200000)) + MAX(0, 10 / 100 * (O36 - 500000)) + MAX(0, 10 / 100 * (O36 - 1000000)),NOR)</f>
        <v>0</v>
      </c>
      <c r="Q36" s="51">
        <v>1000000</v>
      </c>
      <c r="R36" s="51">
        <v>0</v>
      </c>
      <c r="S36" s="51">
        <f t="shared" si="1"/>
        <v>0</v>
      </c>
      <c r="T36" s="51">
        <f t="shared" si="2"/>
        <v>0</v>
      </c>
      <c r="U36" s="51">
        <f t="shared" si="3"/>
        <v>0</v>
      </c>
      <c r="V36" s="51">
        <f t="shared" si="6"/>
        <v>0</v>
      </c>
      <c r="W36" s="51">
        <f t="shared" si="4"/>
        <v>176</v>
      </c>
      <c r="X36" s="51">
        <f t="shared" si="5"/>
        <v>2.2714011353141435E-2</v>
      </c>
    </row>
    <row r="37" spans="1:24">
      <c r="M37" s="202">
        <f>MAX(0, 10 / 100 * (AggregateInc - 200000)) + MAX(0, 10 / 100 * (AggregateInc - 500000)) + MAX(0, 10 / 100 * (AggregateInc - 1000000))</f>
        <v>5878</v>
      </c>
      <c r="N37" s="51">
        <v>200000</v>
      </c>
      <c r="O37" s="51">
        <f t="shared" si="0"/>
        <v>200000</v>
      </c>
      <c r="P37" s="51">
        <f>MIN(MAX(0, 10 / 100 * (O37 - 200000)) + MAX(0, 10 / 100 * (O37 - 500000)) + MAX(0, 10 / 100 * (O37 - 1000000)),Res_F_RebateAgri)</f>
        <v>0</v>
      </c>
      <c r="Q37" s="51">
        <v>1000000</v>
      </c>
      <c r="R37" s="51">
        <v>0</v>
      </c>
      <c r="S37" s="51">
        <f t="shared" si="1"/>
        <v>0</v>
      </c>
      <c r="T37" s="51">
        <f t="shared" si="2"/>
        <v>0</v>
      </c>
      <c r="U37" s="51">
        <f t="shared" si="3"/>
        <v>0</v>
      </c>
      <c r="V37" s="51">
        <f t="shared" si="6"/>
        <v>0</v>
      </c>
      <c r="W37" s="51">
        <f t="shared" si="4"/>
        <v>176</v>
      </c>
      <c r="X37" s="51">
        <f t="shared" si="5"/>
        <v>2.2714011353141435E-2</v>
      </c>
    </row>
    <row r="38" spans="1:24">
      <c r="M38" s="202">
        <f>MAX(0, 10 / 100 * (AggregateInc - 200000)) + MAX(0, 10 / 100 * (AggregateInc - 500000)) + MAX(0, 10 / 100 * (AggregateInc - 1000000))</f>
        <v>5878</v>
      </c>
      <c r="N38" s="51">
        <v>200000</v>
      </c>
      <c r="O38" s="51">
        <f t="shared" si="0"/>
        <v>200000</v>
      </c>
      <c r="P38" s="51">
        <f>MIN(MAX(0, 10 / 100 * (O38 - 200000)) + MAX(0, 10 / 100 * (O38 - 500000)) + MAX(0, 10 / 100 * (O38 - 1000000)),HUF)</f>
        <v>0</v>
      </c>
      <c r="Q38" s="51">
        <v>1000000</v>
      </c>
      <c r="R38" s="51">
        <v>0</v>
      </c>
      <c r="S38" s="51">
        <f t="shared" si="1"/>
        <v>0</v>
      </c>
      <c r="T38" s="51">
        <f t="shared" si="2"/>
        <v>0</v>
      </c>
      <c r="U38" s="51">
        <f t="shared" si="3"/>
        <v>0</v>
      </c>
      <c r="V38" s="51">
        <f t="shared" si="6"/>
        <v>0</v>
      </c>
      <c r="W38" s="51">
        <f t="shared" si="4"/>
        <v>176</v>
      </c>
      <c r="X38" s="51">
        <f t="shared" si="5"/>
        <v>2.2714011353141435E-2</v>
      </c>
    </row>
    <row r="39" spans="1:24">
      <c r="M39" s="202">
        <f>MAX(0, 10 / 100 * (AggregateInc - 500000)) + MAX(0, 10 / 100 * (AggregateInc - 500000)) + MAX(0, 10 / 100 * (AggregateInc - 1000000))</f>
        <v>0</v>
      </c>
      <c r="N39" s="51">
        <v>500000</v>
      </c>
      <c r="O39" s="51">
        <f t="shared" si="0"/>
        <v>500000</v>
      </c>
      <c r="P39" s="51">
        <f>MIN(MAX(0, 10 / 100 * (O39 - 500000)) + MAX(0, 10 / 100 * (O39 - 500000)) + MAX(0, 10 / 100 * (O39 - 1000000)),RES_senior)</f>
        <v>0</v>
      </c>
      <c r="Q39" s="51">
        <v>1000000</v>
      </c>
      <c r="R39" s="51">
        <v>0</v>
      </c>
      <c r="S39" s="51">
        <f t="shared" si="1"/>
        <v>0</v>
      </c>
      <c r="T39" s="51">
        <f t="shared" si="2"/>
        <v>0</v>
      </c>
      <c r="U39" s="51">
        <f t="shared" si="3"/>
        <v>0</v>
      </c>
      <c r="V39" s="51">
        <f t="shared" si="6"/>
        <v>0</v>
      </c>
      <c r="W39" s="51">
        <f t="shared" si="4"/>
        <v>0</v>
      </c>
      <c r="X39" s="51">
        <f t="shared" si="5"/>
        <v>0</v>
      </c>
    </row>
  </sheetData>
  <sheetProtection password="C88E" sheet="1" objects="1" scenarios="1"/>
  <mergeCells count="5">
    <mergeCell ref="B7:E7"/>
    <mergeCell ref="B3:E3"/>
    <mergeCell ref="B4:E4"/>
    <mergeCell ref="B5:E5"/>
    <mergeCell ref="B6:E6"/>
  </mergeCells>
  <phoneticPr fontId="13" type="noConversion"/>
  <pageMargins left="0.75" right="0.75" top="1" bottom="1" header="0.5" footer="0.5"/>
  <pageSetup orientation="portrait" horizontalDpi="300" verticalDpi="300" r:id="rId1"/>
  <headerFooter alignWithMargins="0"/>
  <legacyDrawing r:id="rId2"/>
  <controls>
    <control shapeId="8193" r:id="rId3" name="cmdTax"/>
    <control shapeId="8194" r:id="rId4" name="cmdTaxTransfer"/>
    <control shapeId="8195" r:id="rId5" name="cmdInterest"/>
    <control shapeId="8196" r:id="rId6" name="cmdInterestTransfer"/>
    <control shapeId="8197" r:id="rId7" name="cndBacj"/>
  </controls>
</worksheet>
</file>

<file path=xl/worksheets/sheet8.xml><?xml version="1.0" encoding="utf-8"?>
<worksheet xmlns="http://schemas.openxmlformats.org/spreadsheetml/2006/main" xmlns:r="http://schemas.openxmlformats.org/officeDocument/2006/relationships">
  <sheetPr codeName="Sheet30"/>
  <dimension ref="A1:L1026"/>
  <sheetViews>
    <sheetView showGridLines="0" workbookViewId="0"/>
  </sheetViews>
  <sheetFormatPr defaultRowHeight="12.75" zeroHeight="1"/>
  <cols>
    <col min="1" max="1" width="9.7109375" style="6" customWidth="1"/>
    <col min="2" max="2" width="19.85546875" style="51" customWidth="1"/>
    <col min="3" max="3" width="14.5703125" style="51" customWidth="1"/>
    <col min="4" max="4" width="30.140625" style="51" customWidth="1"/>
    <col min="5" max="5" width="9.140625" style="51"/>
    <col min="6" max="6" width="30.85546875" style="51" customWidth="1"/>
    <col min="7" max="16384" width="9.140625" style="51"/>
  </cols>
  <sheetData>
    <row r="1" spans="2:7">
      <c r="B1" s="5" t="s">
        <v>601</v>
      </c>
    </row>
    <row r="2" spans="2:7">
      <c r="B2" s="5"/>
    </row>
    <row r="3" spans="2:7">
      <c r="B3" s="5" t="s">
        <v>23</v>
      </c>
    </row>
    <row r="4" spans="2:7" ht="25.5" customHeight="1">
      <c r="B4" s="573" t="s">
        <v>19</v>
      </c>
      <c r="C4" s="573"/>
      <c r="D4" s="573"/>
      <c r="E4" s="573"/>
      <c r="F4" s="149"/>
      <c r="G4" s="149"/>
    </row>
    <row r="5" spans="2:7"/>
    <row r="6" spans="2:7" ht="37.5" customHeight="1">
      <c r="B6" s="573" t="s">
        <v>20</v>
      </c>
      <c r="C6" s="574"/>
      <c r="D6" s="574"/>
    </row>
    <row r="7" spans="2:7">
      <c r="B7" s="5"/>
    </row>
    <row r="8" spans="2:7">
      <c r="B8" s="5" t="s">
        <v>24</v>
      </c>
    </row>
    <row r="9" spans="2:7">
      <c r="B9" s="51" t="s">
        <v>14</v>
      </c>
    </row>
    <row r="10" spans="2:7">
      <c r="B10" s="51" t="s">
        <v>15</v>
      </c>
    </row>
    <row r="11" spans="2:7">
      <c r="B11" s="51" t="s">
        <v>16</v>
      </c>
    </row>
    <row r="12" spans="2:7">
      <c r="B12" s="51" t="s">
        <v>17</v>
      </c>
    </row>
    <row r="13" spans="2:7">
      <c r="B13" s="51" t="s">
        <v>18</v>
      </c>
    </row>
    <row r="14" spans="2:7">
      <c r="B14" s="5"/>
    </row>
    <row r="15" spans="2:7" ht="54" customHeight="1">
      <c r="B15" s="575" t="s">
        <v>22</v>
      </c>
      <c r="C15" s="575"/>
      <c r="D15" s="575"/>
    </row>
    <row r="16" spans="2:7">
      <c r="B16" s="5"/>
    </row>
    <row r="17" spans="1:7">
      <c r="B17" s="5" t="s">
        <v>25</v>
      </c>
    </row>
    <row r="18" spans="1:7">
      <c r="A18" s="6" t="s">
        <v>960</v>
      </c>
      <c r="B18" s="280" t="s">
        <v>602</v>
      </c>
      <c r="G18" s="5"/>
    </row>
    <row r="19" spans="1:7">
      <c r="A19" s="6" t="s">
        <v>603</v>
      </c>
      <c r="B19" s="280" t="s">
        <v>604</v>
      </c>
    </row>
    <row r="20" spans="1:7">
      <c r="A20" s="6" t="s">
        <v>605</v>
      </c>
      <c r="B20" s="280" t="s">
        <v>546</v>
      </c>
    </row>
    <row r="21" spans="1:7">
      <c r="A21" s="6" t="s">
        <v>606</v>
      </c>
      <c r="B21" s="280" t="s">
        <v>608</v>
      </c>
    </row>
    <row r="22" spans="1:7">
      <c r="A22" s="6" t="s">
        <v>607</v>
      </c>
      <c r="B22" s="280" t="s">
        <v>610</v>
      </c>
    </row>
    <row r="23" spans="1:7">
      <c r="A23" s="6" t="s">
        <v>609</v>
      </c>
      <c r="B23" s="280" t="s">
        <v>612</v>
      </c>
    </row>
    <row r="24" spans="1:7">
      <c r="A24" s="6" t="s">
        <v>611</v>
      </c>
      <c r="B24" s="280" t="s">
        <v>613</v>
      </c>
    </row>
    <row r="25" spans="1:7"/>
    <row r="26" spans="1:7">
      <c r="B26" s="5" t="s">
        <v>602</v>
      </c>
    </row>
    <row r="27" spans="1:7">
      <c r="B27" s="5"/>
    </row>
    <row r="28" spans="1:7">
      <c r="B28" s="55" t="s">
        <v>614</v>
      </c>
      <c r="C28" s="54"/>
    </row>
    <row r="29" spans="1:7">
      <c r="B29" s="56" t="s">
        <v>615</v>
      </c>
      <c r="C29" s="57"/>
    </row>
    <row r="30" spans="1:7">
      <c r="B30" s="53" t="s">
        <v>616</v>
      </c>
      <c r="C30" s="54"/>
    </row>
    <row r="31" spans="1:7">
      <c r="B31" s="53" t="s">
        <v>617</v>
      </c>
      <c r="C31" s="54"/>
    </row>
    <row r="32" spans="1:7">
      <c r="B32" s="58" t="s">
        <v>618</v>
      </c>
      <c r="C32" s="59"/>
    </row>
    <row r="33" spans="1:8"/>
    <row r="34" spans="1:8">
      <c r="A34" s="6" t="s">
        <v>960</v>
      </c>
    </row>
    <row r="35" spans="1:8"/>
    <row r="36" spans="1:8"/>
    <row r="37" spans="1:8"/>
    <row r="38" spans="1:8"/>
    <row r="39" spans="1:8"/>
    <row r="40" spans="1:8"/>
    <row r="41" spans="1:8">
      <c r="C41" s="60"/>
    </row>
    <row r="42" spans="1:8"/>
    <row r="43" spans="1:8">
      <c r="A43" s="6" t="s">
        <v>603</v>
      </c>
      <c r="B43" s="53" t="s">
        <v>604</v>
      </c>
      <c r="C43" s="62"/>
      <c r="D43" s="62"/>
      <c r="E43" s="63"/>
      <c r="F43" s="62"/>
      <c r="G43" s="62"/>
      <c r="H43" s="54"/>
    </row>
    <row r="44" spans="1:8">
      <c r="B44" s="61" t="s">
        <v>619</v>
      </c>
      <c r="C44" s="62"/>
      <c r="D44" s="62"/>
      <c r="E44" s="62"/>
      <c r="F44" s="62"/>
      <c r="G44" s="62"/>
      <c r="H44" s="54"/>
    </row>
    <row r="45" spans="1:8" ht="18" customHeight="1">
      <c r="B45" s="576" t="s">
        <v>688</v>
      </c>
      <c r="C45" s="576"/>
      <c r="D45" s="576"/>
      <c r="E45" s="576"/>
      <c r="F45" s="576"/>
      <c r="G45" s="576"/>
      <c r="H45" s="576"/>
    </row>
    <row r="46" spans="1:8"/>
    <row r="47" spans="1:8"/>
    <row r="48" spans="1:8">
      <c r="A48" s="6" t="s">
        <v>605</v>
      </c>
      <c r="B48" s="577" t="s">
        <v>546</v>
      </c>
      <c r="C48" s="577"/>
      <c r="D48" s="577"/>
      <c r="E48" s="577"/>
      <c r="F48" s="577"/>
      <c r="G48" s="577"/>
      <c r="H48" s="577"/>
    </row>
    <row r="49" spans="1:8">
      <c r="B49" s="578" t="s">
        <v>686</v>
      </c>
      <c r="C49" s="579"/>
      <c r="D49" s="579"/>
      <c r="E49" s="579"/>
      <c r="F49" s="579"/>
      <c r="G49" s="579"/>
      <c r="H49" s="580"/>
    </row>
    <row r="50" spans="1:8">
      <c r="B50" s="578" t="s">
        <v>620</v>
      </c>
      <c r="C50" s="579"/>
      <c r="D50" s="579"/>
      <c r="E50" s="579"/>
      <c r="F50" s="579"/>
      <c r="G50" s="579"/>
      <c r="H50" s="580"/>
    </row>
    <row r="51" spans="1:8" ht="27" customHeight="1">
      <c r="B51" s="582" t="s">
        <v>687</v>
      </c>
      <c r="C51" s="583"/>
      <c r="D51" s="583"/>
      <c r="E51" s="583"/>
      <c r="F51" s="583"/>
      <c r="G51" s="583"/>
      <c r="H51" s="584"/>
    </row>
    <row r="52" spans="1:8" ht="29.25" customHeight="1">
      <c r="B52" s="582" t="s">
        <v>621</v>
      </c>
      <c r="C52" s="583"/>
      <c r="D52" s="583"/>
      <c r="E52" s="583"/>
      <c r="F52" s="583"/>
      <c r="G52" s="583"/>
      <c r="H52" s="584"/>
    </row>
    <row r="53" spans="1:8"/>
    <row r="54" spans="1:8">
      <c r="A54" s="6" t="s">
        <v>606</v>
      </c>
    </row>
    <row r="55" spans="1:8">
      <c r="B55" s="41" t="s">
        <v>622</v>
      </c>
      <c r="C55" s="49"/>
      <c r="D55" s="49"/>
      <c r="E55" s="65"/>
      <c r="F55" s="49"/>
      <c r="G55" s="49"/>
      <c r="H55" s="49"/>
    </row>
    <row r="56" spans="1:8">
      <c r="B56" s="49" t="s">
        <v>623</v>
      </c>
      <c r="C56" s="49"/>
      <c r="D56" s="49"/>
      <c r="E56" s="49"/>
      <c r="F56" s="49"/>
      <c r="G56" s="49"/>
      <c r="H56" s="49"/>
    </row>
    <row r="57" spans="1:8">
      <c r="B57" s="49" t="s">
        <v>631</v>
      </c>
      <c r="C57" s="49"/>
      <c r="D57" s="49"/>
      <c r="E57" s="49"/>
      <c r="F57" s="49"/>
      <c r="G57" s="49"/>
      <c r="H57" s="49"/>
    </row>
    <row r="58" spans="1:8" ht="24.75" customHeight="1">
      <c r="B58" s="581" t="s">
        <v>26</v>
      </c>
      <c r="C58" s="581"/>
      <c r="D58" s="581"/>
      <c r="E58" s="581"/>
      <c r="F58" s="581"/>
      <c r="G58" s="581"/>
      <c r="H58" s="49"/>
    </row>
    <row r="59" spans="1:8">
      <c r="B59" s="66" t="s">
        <v>27</v>
      </c>
      <c r="C59" s="66"/>
      <c r="D59" s="66"/>
      <c r="E59" s="66"/>
      <c r="F59" s="66"/>
      <c r="G59" s="66"/>
      <c r="H59" s="49"/>
    </row>
    <row r="60" spans="1:8" ht="15" customHeight="1">
      <c r="B60" s="585" t="s">
        <v>28</v>
      </c>
      <c r="C60" s="585"/>
      <c r="D60" s="585"/>
      <c r="E60" s="585"/>
      <c r="F60" s="585"/>
      <c r="G60" s="585"/>
      <c r="H60" s="49"/>
    </row>
    <row r="61" spans="1:8" ht="27.75" customHeight="1">
      <c r="B61" s="513" t="s">
        <v>29</v>
      </c>
      <c r="C61" s="572"/>
      <c r="D61" s="572"/>
      <c r="E61" s="572"/>
      <c r="F61" s="572"/>
      <c r="G61" s="572"/>
      <c r="H61" s="49"/>
    </row>
    <row r="62" spans="1:8">
      <c r="B62" s="513" t="s">
        <v>30</v>
      </c>
      <c r="C62" s="572"/>
      <c r="D62" s="572"/>
      <c r="E62" s="572"/>
      <c r="F62" s="572"/>
      <c r="G62" s="572"/>
      <c r="H62" s="49"/>
    </row>
    <row r="63" spans="1:8">
      <c r="B63" s="41" t="s">
        <v>31</v>
      </c>
      <c r="C63" s="49"/>
      <c r="D63" s="49"/>
      <c r="E63" s="49"/>
      <c r="F63" s="49"/>
      <c r="G63" s="49"/>
      <c r="H63" s="49"/>
    </row>
    <row r="64" spans="1:8">
      <c r="B64" s="49" t="s">
        <v>32</v>
      </c>
      <c r="C64" s="49"/>
      <c r="D64" s="49"/>
      <c r="E64" s="49"/>
      <c r="F64" s="49"/>
      <c r="G64" s="49"/>
      <c r="H64" s="49"/>
    </row>
    <row r="65" spans="1:8" ht="25.5" customHeight="1">
      <c r="B65" s="513" t="s">
        <v>33</v>
      </c>
      <c r="C65" s="572"/>
      <c r="D65" s="572"/>
      <c r="E65" s="572"/>
      <c r="F65" s="572"/>
      <c r="G65" s="572"/>
      <c r="H65" s="572"/>
    </row>
    <row r="66" spans="1:8" ht="94.5" customHeight="1">
      <c r="B66" s="589" t="s">
        <v>743</v>
      </c>
      <c r="C66" s="576"/>
      <c r="D66" s="576"/>
      <c r="E66" s="576"/>
      <c r="F66" s="576"/>
      <c r="G66" s="576"/>
      <c r="H66" s="576"/>
    </row>
    <row r="67" spans="1:8">
      <c r="A67" s="6" t="s">
        <v>607</v>
      </c>
      <c r="B67" s="53" t="s">
        <v>637</v>
      </c>
      <c r="C67" s="62"/>
      <c r="D67" s="62"/>
      <c r="E67" s="63"/>
      <c r="F67" s="62"/>
      <c r="G67" s="62"/>
      <c r="H67" s="54"/>
    </row>
    <row r="68" spans="1:8">
      <c r="B68" s="586" t="s">
        <v>744</v>
      </c>
      <c r="C68" s="587"/>
      <c r="D68" s="587"/>
      <c r="E68" s="587"/>
      <c r="F68" s="587"/>
      <c r="G68" s="587"/>
      <c r="H68" s="588"/>
    </row>
    <row r="69" spans="1:8">
      <c r="A69" s="6" t="s">
        <v>609</v>
      </c>
      <c r="B69" s="53" t="s">
        <v>748</v>
      </c>
      <c r="C69" s="62"/>
      <c r="D69" s="62"/>
      <c r="E69" s="63"/>
      <c r="F69" s="62"/>
      <c r="G69" s="62"/>
      <c r="H69" s="54"/>
    </row>
    <row r="70" spans="1:8" ht="27.75" customHeight="1">
      <c r="B70" s="586" t="s">
        <v>745</v>
      </c>
      <c r="C70" s="587"/>
      <c r="D70" s="587"/>
      <c r="E70" s="587"/>
      <c r="F70" s="587"/>
      <c r="G70" s="587"/>
      <c r="H70" s="588"/>
    </row>
    <row r="71" spans="1:8" ht="25.5" customHeight="1">
      <c r="B71" s="582" t="s">
        <v>746</v>
      </c>
      <c r="C71" s="583"/>
      <c r="D71" s="583"/>
      <c r="E71" s="583"/>
      <c r="F71" s="583"/>
      <c r="G71" s="583"/>
      <c r="H71" s="584"/>
    </row>
    <row r="72" spans="1:8">
      <c r="B72" s="49" t="s">
        <v>747</v>
      </c>
      <c r="C72" s="62"/>
      <c r="D72" s="62"/>
      <c r="E72" s="62"/>
      <c r="F72" s="62"/>
      <c r="G72" s="62"/>
      <c r="H72" s="54"/>
    </row>
    <row r="73" spans="1:8"/>
    <row r="74" spans="1:8">
      <c r="A74" s="6" t="s">
        <v>611</v>
      </c>
      <c r="B74" s="53" t="s">
        <v>638</v>
      </c>
      <c r="C74" s="62"/>
      <c r="D74" s="62"/>
      <c r="E74" s="63"/>
      <c r="F74" s="62"/>
      <c r="G74" s="62"/>
      <c r="H74" s="54"/>
    </row>
    <row r="75" spans="1:8" ht="29.25" customHeight="1">
      <c r="B75" s="582" t="s">
        <v>749</v>
      </c>
      <c r="C75" s="583"/>
      <c r="D75" s="583"/>
      <c r="E75" s="583"/>
      <c r="F75" s="583"/>
      <c r="G75" s="583"/>
      <c r="H75" s="584"/>
    </row>
    <row r="76" spans="1:8"/>
    <row r="77" spans="1:8"/>
    <row r="78" spans="1:8" hidden="1"/>
    <row r="79" spans="1:8" hidden="1"/>
    <row r="80" spans="1:8" hidden="1"/>
    <row r="81" hidden="1"/>
    <row r="82" hidden="1"/>
    <row r="83" hidden="1"/>
    <row r="84" hidden="1"/>
    <row r="85" hidden="1"/>
    <row r="86" hidden="1"/>
    <row r="87" hidden="1"/>
    <row r="88" hidden="1"/>
    <row r="89" hidden="1"/>
    <row r="90" hidden="1"/>
    <row r="91" hidden="1"/>
    <row r="92" hidden="1"/>
    <row r="93" hidden="1"/>
    <row r="94" hidden="1"/>
    <row r="95" hidden="1"/>
    <row r="96" hidden="1"/>
    <row r="97" spans="1:2" hidden="1"/>
    <row r="98" spans="1:2" hidden="1"/>
    <row r="99" spans="1:2" hidden="1"/>
    <row r="100" spans="1:2" hidden="1"/>
    <row r="101" spans="1:2" hidden="1">
      <c r="A101" s="6">
        <v>1</v>
      </c>
      <c r="B101" s="60" t="s">
        <v>639</v>
      </c>
    </row>
    <row r="102" spans="1:2" hidden="1">
      <c r="B102" s="51" t="s">
        <v>750</v>
      </c>
    </row>
    <row r="103" spans="1:2" hidden="1"/>
    <row r="104" spans="1:2" hidden="1"/>
    <row r="105" spans="1:2" hidden="1">
      <c r="B105" s="51" t="s">
        <v>640</v>
      </c>
    </row>
    <row r="106" spans="1:2" hidden="1">
      <c r="B106" s="51" t="s">
        <v>641</v>
      </c>
    </row>
    <row r="107" spans="1:2" hidden="1">
      <c r="B107" s="51" t="s">
        <v>642</v>
      </c>
    </row>
    <row r="108" spans="1:2" hidden="1">
      <c r="B108" s="51" t="s">
        <v>643</v>
      </c>
    </row>
    <row r="109" spans="1:2" hidden="1">
      <c r="B109" s="51" t="s">
        <v>644</v>
      </c>
    </row>
    <row r="110" spans="1:2" hidden="1">
      <c r="B110" s="51" t="s">
        <v>645</v>
      </c>
    </row>
    <row r="111" spans="1:2" hidden="1">
      <c r="B111" s="51" t="s">
        <v>646</v>
      </c>
    </row>
    <row r="112" spans="1:2" hidden="1"/>
    <row r="113" spans="1:2" hidden="1"/>
    <row r="114" spans="1:2" hidden="1"/>
    <row r="115" spans="1:2" hidden="1"/>
    <row r="116" spans="1:2" hidden="1"/>
    <row r="117" spans="1:2" hidden="1">
      <c r="A117" s="6">
        <v>2</v>
      </c>
      <c r="B117" s="60" t="s">
        <v>647</v>
      </c>
    </row>
    <row r="118" spans="1:2" hidden="1">
      <c r="B118" s="51" t="s">
        <v>751</v>
      </c>
    </row>
    <row r="119" spans="1:2" hidden="1"/>
    <row r="120" spans="1:2" hidden="1">
      <c r="A120" s="6">
        <v>3</v>
      </c>
      <c r="B120" s="60" t="s">
        <v>648</v>
      </c>
    </row>
    <row r="121" spans="1:2" hidden="1"/>
    <row r="122" spans="1:2" hidden="1">
      <c r="B122" s="51" t="s">
        <v>649</v>
      </c>
    </row>
    <row r="123" spans="1:2" hidden="1"/>
    <row r="124" spans="1:2" hidden="1">
      <c r="A124" s="6">
        <v>4</v>
      </c>
      <c r="B124" s="60" t="s">
        <v>650</v>
      </c>
    </row>
    <row r="125" spans="1:2" hidden="1">
      <c r="B125" s="51" t="s">
        <v>651</v>
      </c>
    </row>
    <row r="126" spans="1:2" hidden="1">
      <c r="B126" s="51" t="s">
        <v>652</v>
      </c>
    </row>
    <row r="127" spans="1:2" hidden="1">
      <c r="B127" s="51" t="s">
        <v>653</v>
      </c>
    </row>
    <row r="128" spans="1:2" hidden="1"/>
    <row r="129" spans="1:2" hidden="1">
      <c r="A129" s="6">
        <v>5</v>
      </c>
      <c r="B129" s="60" t="s">
        <v>654</v>
      </c>
    </row>
    <row r="130" spans="1:2" hidden="1">
      <c r="B130" s="51" t="s">
        <v>655</v>
      </c>
    </row>
    <row r="131" spans="1:2" hidden="1">
      <c r="B131" s="51" t="s">
        <v>656</v>
      </c>
    </row>
    <row r="132" spans="1:2" hidden="1">
      <c r="B132" s="51" t="s">
        <v>657</v>
      </c>
    </row>
    <row r="133" spans="1:2" hidden="1">
      <c r="B133" s="51" t="s">
        <v>665</v>
      </c>
    </row>
    <row r="134" spans="1:2" hidden="1">
      <c r="B134" s="51" t="s">
        <v>666</v>
      </c>
    </row>
    <row r="135" spans="1:2" hidden="1">
      <c r="B135" s="51" t="s">
        <v>667</v>
      </c>
    </row>
    <row r="136" spans="1:2" hidden="1">
      <c r="B136" s="51" t="s">
        <v>668</v>
      </c>
    </row>
    <row r="137" spans="1:2" hidden="1"/>
    <row r="138" spans="1:2" hidden="1">
      <c r="A138" s="6">
        <v>6</v>
      </c>
      <c r="B138" s="60" t="s">
        <v>669</v>
      </c>
    </row>
    <row r="139" spans="1:2" hidden="1">
      <c r="B139" s="51" t="s">
        <v>655</v>
      </c>
    </row>
    <row r="140" spans="1:2" hidden="1">
      <c r="B140" s="51" t="s">
        <v>670</v>
      </c>
    </row>
    <row r="141" spans="1:2" hidden="1">
      <c r="B141" s="51" t="s">
        <v>671</v>
      </c>
    </row>
    <row r="142" spans="1:2" hidden="1">
      <c r="B142" s="51" t="s">
        <v>665</v>
      </c>
    </row>
    <row r="143" spans="1:2" hidden="1">
      <c r="B143" s="51" t="s">
        <v>666</v>
      </c>
    </row>
    <row r="144" spans="1:2" hidden="1">
      <c r="B144" s="51" t="s">
        <v>667</v>
      </c>
    </row>
    <row r="145" spans="1:2" hidden="1">
      <c r="B145" s="51" t="s">
        <v>672</v>
      </c>
    </row>
    <row r="146" spans="1:2" hidden="1">
      <c r="B146" s="51" t="s">
        <v>673</v>
      </c>
    </row>
    <row r="147" spans="1:2" hidden="1"/>
    <row r="148" spans="1:2" hidden="1">
      <c r="A148" s="6">
        <v>7</v>
      </c>
      <c r="B148" s="60" t="s">
        <v>674</v>
      </c>
    </row>
    <row r="149" spans="1:2" hidden="1">
      <c r="B149" s="51" t="s">
        <v>675</v>
      </c>
    </row>
    <row r="150" spans="1:2" hidden="1">
      <c r="B150" s="51" t="s">
        <v>676</v>
      </c>
    </row>
    <row r="151" spans="1:2" hidden="1">
      <c r="B151" s="51" t="s">
        <v>677</v>
      </c>
    </row>
    <row r="152" spans="1:2" hidden="1">
      <c r="B152" s="51" t="s">
        <v>678</v>
      </c>
    </row>
    <row r="153" spans="1:2" hidden="1">
      <c r="B153" s="51" t="s">
        <v>679</v>
      </c>
    </row>
    <row r="154" spans="1:2" hidden="1">
      <c r="B154" s="51" t="s">
        <v>680</v>
      </c>
    </row>
    <row r="155" spans="1:2" hidden="1">
      <c r="B155" s="51" t="s">
        <v>681</v>
      </c>
    </row>
    <row r="156" spans="1:2" hidden="1">
      <c r="B156" s="51" t="s">
        <v>682</v>
      </c>
    </row>
    <row r="157" spans="1:2" hidden="1">
      <c r="B157" s="51" t="s">
        <v>683</v>
      </c>
    </row>
    <row r="158" spans="1:2" hidden="1"/>
    <row r="159" spans="1:2" hidden="1"/>
    <row r="160" spans="1:2" hidden="1">
      <c r="A160" s="6">
        <v>8</v>
      </c>
      <c r="B160" s="60" t="s">
        <v>684</v>
      </c>
    </row>
    <row r="161" spans="1:2" hidden="1">
      <c r="B161" s="51" t="s">
        <v>675</v>
      </c>
    </row>
    <row r="162" spans="1:2" hidden="1">
      <c r="B162" s="51" t="s">
        <v>676</v>
      </c>
    </row>
    <row r="163" spans="1:2" hidden="1">
      <c r="B163" s="51" t="s">
        <v>677</v>
      </c>
    </row>
    <row r="164" spans="1:2" hidden="1">
      <c r="B164" s="51" t="s">
        <v>678</v>
      </c>
    </row>
    <row r="165" spans="1:2" hidden="1">
      <c r="B165" s="51" t="s">
        <v>679</v>
      </c>
    </row>
    <row r="166" spans="1:2" hidden="1">
      <c r="B166" s="51" t="s">
        <v>695</v>
      </c>
    </row>
    <row r="167" spans="1:2" hidden="1"/>
    <row r="168" spans="1:2" hidden="1">
      <c r="A168" s="6">
        <v>9</v>
      </c>
      <c r="B168" s="60" t="s">
        <v>696</v>
      </c>
    </row>
    <row r="169" spans="1:2" hidden="1"/>
    <row r="170" spans="1:2" hidden="1">
      <c r="B170" s="51" t="s">
        <v>697</v>
      </c>
    </row>
    <row r="171" spans="1:2" hidden="1">
      <c r="B171" s="51" t="s">
        <v>698</v>
      </c>
    </row>
    <row r="172" spans="1:2" hidden="1">
      <c r="B172" s="51" t="s">
        <v>699</v>
      </c>
    </row>
    <row r="173" spans="1:2" hidden="1">
      <c r="B173" s="51" t="s">
        <v>700</v>
      </c>
    </row>
    <row r="174" spans="1:2" hidden="1">
      <c r="B174" s="51" t="s">
        <v>701</v>
      </c>
    </row>
    <row r="175" spans="1:2" hidden="1"/>
    <row r="176" spans="1:2" hidden="1"/>
    <row r="177" spans="2:2" hidden="1">
      <c r="B177" s="51" t="s">
        <v>702</v>
      </c>
    </row>
    <row r="178" spans="2:2" hidden="1">
      <c r="B178" s="51" t="s">
        <v>703</v>
      </c>
    </row>
    <row r="179" spans="2:2" hidden="1">
      <c r="B179" s="51" t="s">
        <v>704</v>
      </c>
    </row>
    <row r="180" spans="2:2" hidden="1">
      <c r="B180" s="51" t="s">
        <v>705</v>
      </c>
    </row>
    <row r="181" spans="2:2" hidden="1">
      <c r="B181" s="51" t="s">
        <v>706</v>
      </c>
    </row>
    <row r="182" spans="2:2" hidden="1">
      <c r="B182" s="51" t="s">
        <v>707</v>
      </c>
    </row>
    <row r="183" spans="2:2" hidden="1">
      <c r="B183" s="51" t="s">
        <v>708</v>
      </c>
    </row>
    <row r="184" spans="2:2" hidden="1">
      <c r="B184" s="51" t="s">
        <v>709</v>
      </c>
    </row>
    <row r="185" spans="2:2" hidden="1">
      <c r="B185" s="51" t="s">
        <v>710</v>
      </c>
    </row>
    <row r="186" spans="2:2" hidden="1">
      <c r="B186" s="51" t="s">
        <v>711</v>
      </c>
    </row>
    <row r="187" spans="2:2" hidden="1">
      <c r="B187" s="51" t="s">
        <v>712</v>
      </c>
    </row>
    <row r="188" spans="2:2" hidden="1">
      <c r="B188" s="51" t="s">
        <v>713</v>
      </c>
    </row>
    <row r="189" spans="2:2" hidden="1">
      <c r="B189" s="51" t="s">
        <v>714</v>
      </c>
    </row>
    <row r="190" spans="2:2" hidden="1">
      <c r="B190" s="51" t="s">
        <v>716</v>
      </c>
    </row>
    <row r="191" spans="2:2" hidden="1">
      <c r="B191" s="51" t="s">
        <v>717</v>
      </c>
    </row>
    <row r="192" spans="2:2" hidden="1"/>
    <row r="193" spans="1:2" hidden="1">
      <c r="A193" s="6">
        <v>10</v>
      </c>
      <c r="B193" s="60" t="s">
        <v>718</v>
      </c>
    </row>
    <row r="194" spans="1:2" hidden="1">
      <c r="B194" s="5" t="s">
        <v>719</v>
      </c>
    </row>
    <row r="195" spans="1:2" hidden="1">
      <c r="B195" s="51" t="s">
        <v>720</v>
      </c>
    </row>
    <row r="196" spans="1:2" hidden="1">
      <c r="B196" s="51" t="s">
        <v>721</v>
      </c>
    </row>
    <row r="197" spans="1:2" hidden="1">
      <c r="B197" s="51" t="s">
        <v>722</v>
      </c>
    </row>
    <row r="198" spans="1:2" hidden="1"/>
    <row r="199" spans="1:2" hidden="1">
      <c r="B199" s="51" t="s">
        <v>723</v>
      </c>
    </row>
    <row r="200" spans="1:2" hidden="1">
      <c r="B200" s="51" t="s">
        <v>724</v>
      </c>
    </row>
    <row r="201" spans="1:2" hidden="1">
      <c r="B201" s="51" t="s">
        <v>725</v>
      </c>
    </row>
    <row r="202" spans="1:2" hidden="1">
      <c r="B202" s="51" t="s">
        <v>726</v>
      </c>
    </row>
    <row r="203" spans="1:2" hidden="1">
      <c r="B203" s="51" t="s">
        <v>727</v>
      </c>
    </row>
    <row r="204" spans="1:2" hidden="1">
      <c r="B204" s="51" t="s">
        <v>728</v>
      </c>
    </row>
    <row r="205" spans="1:2" hidden="1">
      <c r="B205" s="51" t="s">
        <v>729</v>
      </c>
    </row>
    <row r="206" spans="1:2" hidden="1">
      <c r="B206" s="51" t="s">
        <v>730</v>
      </c>
    </row>
    <row r="207" spans="1:2" hidden="1">
      <c r="B207" s="51" t="s">
        <v>731</v>
      </c>
    </row>
    <row r="208" spans="1:2" hidden="1">
      <c r="B208" s="51" t="s">
        <v>732</v>
      </c>
    </row>
    <row r="209" spans="1:2" hidden="1">
      <c r="B209" s="51" t="s">
        <v>733</v>
      </c>
    </row>
    <row r="210" spans="1:2" hidden="1">
      <c r="B210" s="51" t="s">
        <v>734</v>
      </c>
    </row>
    <row r="211" spans="1:2" hidden="1">
      <c r="B211" s="51" t="s">
        <v>735</v>
      </c>
    </row>
    <row r="212" spans="1:2" hidden="1">
      <c r="B212" s="51" t="s">
        <v>736</v>
      </c>
    </row>
    <row r="213" spans="1:2" hidden="1">
      <c r="B213" s="51" t="s">
        <v>737</v>
      </c>
    </row>
    <row r="214" spans="1:2" hidden="1">
      <c r="B214" s="51" t="s">
        <v>738</v>
      </c>
    </row>
    <row r="215" spans="1:2" hidden="1">
      <c r="B215" s="51" t="s">
        <v>739</v>
      </c>
    </row>
    <row r="216" spans="1:2" hidden="1">
      <c r="B216" s="51" t="s">
        <v>740</v>
      </c>
    </row>
    <row r="217" spans="1:2" hidden="1">
      <c r="B217" s="51" t="s">
        <v>741</v>
      </c>
    </row>
    <row r="218" spans="1:2" hidden="1">
      <c r="B218" s="51" t="s">
        <v>742</v>
      </c>
    </row>
    <row r="219" spans="1:2" hidden="1">
      <c r="B219" s="51" t="s">
        <v>756</v>
      </c>
    </row>
    <row r="220" spans="1:2" hidden="1">
      <c r="B220" s="51" t="s">
        <v>757</v>
      </c>
    </row>
    <row r="221" spans="1:2" hidden="1">
      <c r="B221" s="51" t="s">
        <v>758</v>
      </c>
    </row>
    <row r="222" spans="1:2" hidden="1"/>
    <row r="223" spans="1:2" hidden="1"/>
    <row r="224" spans="1:2" hidden="1">
      <c r="A224" s="6">
        <v>11</v>
      </c>
      <c r="B224" s="60" t="s">
        <v>759</v>
      </c>
    </row>
    <row r="225" spans="2:2" hidden="1">
      <c r="B225" s="51" t="s">
        <v>760</v>
      </c>
    </row>
    <row r="226" spans="2:2" hidden="1">
      <c r="B226" s="51" t="s">
        <v>761</v>
      </c>
    </row>
    <row r="227" spans="2:2" hidden="1">
      <c r="B227" s="51" t="s">
        <v>762</v>
      </c>
    </row>
    <row r="228" spans="2:2" hidden="1">
      <c r="B228" s="51" t="s">
        <v>763</v>
      </c>
    </row>
    <row r="229" spans="2:2" hidden="1">
      <c r="B229" s="51" t="s">
        <v>764</v>
      </c>
    </row>
    <row r="230" spans="2:2" hidden="1">
      <c r="B230" s="51" t="s">
        <v>765</v>
      </c>
    </row>
    <row r="231" spans="2:2" hidden="1">
      <c r="B231" s="51" t="s">
        <v>766</v>
      </c>
    </row>
    <row r="232" spans="2:2" hidden="1">
      <c r="B232" s="51" t="s">
        <v>767</v>
      </c>
    </row>
    <row r="233" spans="2:2" hidden="1">
      <c r="B233" s="51" t="s">
        <v>768</v>
      </c>
    </row>
    <row r="234" spans="2:2" hidden="1">
      <c r="B234" s="51" t="s">
        <v>769</v>
      </c>
    </row>
    <row r="235" spans="2:2" hidden="1">
      <c r="B235" s="51" t="s">
        <v>770</v>
      </c>
    </row>
    <row r="236" spans="2:2" hidden="1">
      <c r="B236" s="51" t="s">
        <v>771</v>
      </c>
    </row>
    <row r="237" spans="2:2" hidden="1">
      <c r="B237" s="51" t="s">
        <v>772</v>
      </c>
    </row>
    <row r="238" spans="2:2" hidden="1"/>
    <row r="239" spans="2:2" hidden="1"/>
    <row r="240" spans="2:2" hidden="1"/>
    <row r="241" spans="1:2" hidden="1">
      <c r="A241" s="6">
        <v>12</v>
      </c>
      <c r="B241" s="60" t="s">
        <v>773</v>
      </c>
    </row>
    <row r="242" spans="1:2" hidden="1">
      <c r="B242" s="51" t="s">
        <v>774</v>
      </c>
    </row>
    <row r="243" spans="1:2" hidden="1">
      <c r="B243" s="51" t="s">
        <v>775</v>
      </c>
    </row>
    <row r="244" spans="1:2" hidden="1">
      <c r="B244" s="51" t="s">
        <v>776</v>
      </c>
    </row>
    <row r="245" spans="1:2" hidden="1">
      <c r="B245" s="51" t="s">
        <v>777</v>
      </c>
    </row>
    <row r="246" spans="1:2" hidden="1">
      <c r="B246" s="51" t="s">
        <v>778</v>
      </c>
    </row>
    <row r="247" spans="1:2" hidden="1">
      <c r="B247" s="51" t="s">
        <v>779</v>
      </c>
    </row>
    <row r="248" spans="1:2" hidden="1">
      <c r="B248" s="51" t="s">
        <v>780</v>
      </c>
    </row>
    <row r="249" spans="1:2" hidden="1">
      <c r="B249" s="51" t="s">
        <v>781</v>
      </c>
    </row>
    <row r="250" spans="1:2" hidden="1">
      <c r="B250" s="51" t="s">
        <v>782</v>
      </c>
    </row>
    <row r="251" spans="1:2" hidden="1">
      <c r="B251" s="51" t="s">
        <v>783</v>
      </c>
    </row>
    <row r="252" spans="1:2" hidden="1">
      <c r="B252" s="51" t="s">
        <v>784</v>
      </c>
    </row>
    <row r="253" spans="1:2" hidden="1">
      <c r="B253" s="51" t="s">
        <v>785</v>
      </c>
    </row>
    <row r="254" spans="1:2" hidden="1"/>
    <row r="255" spans="1:2" hidden="1">
      <c r="A255" s="6">
        <v>13</v>
      </c>
      <c r="B255" s="60" t="s">
        <v>786</v>
      </c>
    </row>
    <row r="256" spans="1:2" hidden="1">
      <c r="B256" s="51" t="s">
        <v>787</v>
      </c>
    </row>
    <row r="257" spans="1:2" hidden="1">
      <c r="B257" s="51" t="s">
        <v>788</v>
      </c>
    </row>
    <row r="258" spans="1:2" hidden="1">
      <c r="B258" s="51" t="s">
        <v>789</v>
      </c>
    </row>
    <row r="259" spans="1:2" hidden="1">
      <c r="B259" s="51" t="s">
        <v>790</v>
      </c>
    </row>
    <row r="260" spans="1:2" hidden="1">
      <c r="B260" s="51" t="s">
        <v>791</v>
      </c>
    </row>
    <row r="261" spans="1:2" hidden="1"/>
    <row r="262" spans="1:2" hidden="1">
      <c r="A262" s="6">
        <v>14</v>
      </c>
      <c r="B262" s="60" t="s">
        <v>792</v>
      </c>
    </row>
    <row r="263" spans="1:2" hidden="1">
      <c r="B263" s="51" t="s">
        <v>787</v>
      </c>
    </row>
    <row r="264" spans="1:2" hidden="1">
      <c r="B264" s="51" t="s">
        <v>788</v>
      </c>
    </row>
    <row r="265" spans="1:2" hidden="1">
      <c r="B265" s="51" t="s">
        <v>789</v>
      </c>
    </row>
    <row r="266" spans="1:2" hidden="1">
      <c r="B266" s="51" t="s">
        <v>790</v>
      </c>
    </row>
    <row r="267" spans="1:2" hidden="1">
      <c r="B267" s="51" t="s">
        <v>791</v>
      </c>
    </row>
    <row r="268" spans="1:2" hidden="1"/>
    <row r="269" spans="1:2" hidden="1"/>
    <row r="270" spans="1:2" hidden="1">
      <c r="A270" s="6">
        <v>15</v>
      </c>
      <c r="B270" s="60" t="s">
        <v>793</v>
      </c>
    </row>
    <row r="271" spans="1:2" hidden="1">
      <c r="B271" s="51" t="s">
        <v>794</v>
      </c>
    </row>
    <row r="272" spans="1:2" hidden="1">
      <c r="B272" s="51" t="s">
        <v>795</v>
      </c>
    </row>
    <row r="273" spans="1:7" hidden="1">
      <c r="B273" s="51" t="s">
        <v>796</v>
      </c>
    </row>
    <row r="274" spans="1:7" hidden="1">
      <c r="B274" s="51" t="s">
        <v>797</v>
      </c>
    </row>
    <row r="275" spans="1:7" hidden="1"/>
    <row r="276" spans="1:7" hidden="1"/>
    <row r="277" spans="1:7" hidden="1">
      <c r="A277" s="6">
        <v>16</v>
      </c>
      <c r="B277" s="60" t="s">
        <v>798</v>
      </c>
    </row>
    <row r="278" spans="1:7" hidden="1">
      <c r="B278" s="51" t="s">
        <v>799</v>
      </c>
    </row>
    <row r="279" spans="1:7" hidden="1">
      <c r="B279" s="51" t="s">
        <v>800</v>
      </c>
    </row>
    <row r="280" spans="1:7" hidden="1">
      <c r="B280" s="51" t="s">
        <v>801</v>
      </c>
    </row>
    <row r="281" spans="1:7" hidden="1">
      <c r="B281" s="51" t="s">
        <v>802</v>
      </c>
    </row>
    <row r="282" spans="1:7" hidden="1">
      <c r="B282" s="51" t="s">
        <v>803</v>
      </c>
    </row>
    <row r="283" spans="1:7" hidden="1"/>
    <row r="284" spans="1:7" ht="38.25" hidden="1">
      <c r="B284" s="3" t="s">
        <v>804</v>
      </c>
      <c r="C284" s="1" t="s">
        <v>805</v>
      </c>
      <c r="D284" s="3" t="s">
        <v>806</v>
      </c>
      <c r="E284" s="3" t="s">
        <v>807</v>
      </c>
      <c r="F284" s="1" t="s">
        <v>805</v>
      </c>
      <c r="G284" s="3" t="s">
        <v>808</v>
      </c>
    </row>
    <row r="285" spans="1:7" hidden="1">
      <c r="B285" s="67">
        <v>1</v>
      </c>
      <c r="C285" s="68" t="s">
        <v>809</v>
      </c>
      <c r="D285" s="68">
        <v>100</v>
      </c>
      <c r="E285" s="69">
        <v>14</v>
      </c>
      <c r="F285" s="68" t="s">
        <v>810</v>
      </c>
      <c r="G285" s="68">
        <v>259</v>
      </c>
    </row>
    <row r="286" spans="1:7" hidden="1">
      <c r="B286" s="67">
        <v>2</v>
      </c>
      <c r="C286" s="68" t="s">
        <v>811</v>
      </c>
      <c r="D286" s="68">
        <v>109</v>
      </c>
      <c r="E286" s="69">
        <v>15</v>
      </c>
      <c r="F286" s="68" t="s">
        <v>812</v>
      </c>
      <c r="G286" s="68">
        <v>281</v>
      </c>
    </row>
    <row r="287" spans="1:7" hidden="1">
      <c r="B287" s="67">
        <v>3</v>
      </c>
      <c r="C287" s="68" t="s">
        <v>813</v>
      </c>
      <c r="D287" s="68">
        <v>116</v>
      </c>
      <c r="E287" s="69">
        <v>16</v>
      </c>
      <c r="F287" s="68" t="s">
        <v>814</v>
      </c>
      <c r="G287" s="68">
        <v>305</v>
      </c>
    </row>
    <row r="288" spans="1:7" hidden="1">
      <c r="B288" s="67">
        <v>4</v>
      </c>
      <c r="C288" s="68" t="s">
        <v>817</v>
      </c>
      <c r="D288" s="68">
        <v>125</v>
      </c>
      <c r="E288" s="69">
        <v>17</v>
      </c>
      <c r="F288" s="68" t="s">
        <v>818</v>
      </c>
      <c r="G288" s="68">
        <v>331</v>
      </c>
    </row>
    <row r="289" spans="2:7" hidden="1">
      <c r="B289" s="67">
        <v>5</v>
      </c>
      <c r="C289" s="68" t="s">
        <v>819</v>
      </c>
      <c r="D289" s="68">
        <v>133</v>
      </c>
      <c r="E289" s="69">
        <v>18</v>
      </c>
      <c r="F289" s="68" t="s">
        <v>820</v>
      </c>
      <c r="G289" s="68">
        <v>351</v>
      </c>
    </row>
    <row r="290" spans="2:7" hidden="1">
      <c r="B290" s="67">
        <v>6</v>
      </c>
      <c r="C290" s="68" t="s">
        <v>821</v>
      </c>
      <c r="D290" s="68">
        <v>140</v>
      </c>
      <c r="E290" s="69">
        <v>19</v>
      </c>
      <c r="F290" s="68" t="s">
        <v>822</v>
      </c>
      <c r="G290" s="68">
        <v>389</v>
      </c>
    </row>
    <row r="291" spans="2:7" hidden="1">
      <c r="B291" s="67">
        <v>7</v>
      </c>
      <c r="C291" s="68" t="s">
        <v>823</v>
      </c>
      <c r="D291" s="68">
        <v>150</v>
      </c>
      <c r="E291" s="69">
        <v>20</v>
      </c>
      <c r="F291" s="68" t="s">
        <v>824</v>
      </c>
      <c r="G291" s="68">
        <v>406</v>
      </c>
    </row>
    <row r="292" spans="2:7" hidden="1">
      <c r="B292" s="67">
        <v>8</v>
      </c>
      <c r="C292" s="68" t="s">
        <v>825</v>
      </c>
      <c r="D292" s="68">
        <v>161</v>
      </c>
      <c r="E292" s="69">
        <v>21</v>
      </c>
      <c r="F292" s="68" t="s">
        <v>826</v>
      </c>
      <c r="G292" s="68">
        <v>426</v>
      </c>
    </row>
    <row r="293" spans="2:7" hidden="1">
      <c r="B293" s="67">
        <v>9</v>
      </c>
      <c r="C293" s="68" t="s">
        <v>827</v>
      </c>
      <c r="D293" s="68">
        <v>172</v>
      </c>
      <c r="E293" s="69">
        <v>22</v>
      </c>
      <c r="F293" s="68" t="s">
        <v>828</v>
      </c>
      <c r="G293" s="68">
        <v>447</v>
      </c>
    </row>
    <row r="294" spans="2:7" hidden="1">
      <c r="B294" s="67">
        <v>10</v>
      </c>
      <c r="C294" s="68" t="s">
        <v>829</v>
      </c>
      <c r="D294" s="68">
        <v>182</v>
      </c>
      <c r="E294" s="69">
        <v>23</v>
      </c>
      <c r="F294" s="68" t="s">
        <v>830</v>
      </c>
      <c r="G294" s="68">
        <v>463</v>
      </c>
    </row>
    <row r="295" spans="2:7" hidden="1">
      <c r="B295" s="67">
        <v>11</v>
      </c>
      <c r="C295" s="68" t="s">
        <v>831</v>
      </c>
      <c r="D295" s="68">
        <v>199</v>
      </c>
      <c r="E295" s="69">
        <v>24</v>
      </c>
      <c r="F295" s="68" t="s">
        <v>832</v>
      </c>
      <c r="G295" s="68">
        <v>480</v>
      </c>
    </row>
    <row r="296" spans="2:7" hidden="1">
      <c r="B296" s="67">
        <v>12</v>
      </c>
      <c r="C296" s="68" t="s">
        <v>833</v>
      </c>
      <c r="D296" s="68">
        <v>223</v>
      </c>
      <c r="E296" s="69">
        <v>25</v>
      </c>
      <c r="F296" s="68" t="s">
        <v>834</v>
      </c>
      <c r="G296" s="68">
        <v>497</v>
      </c>
    </row>
    <row r="297" spans="2:7" hidden="1">
      <c r="B297" s="67">
        <v>13</v>
      </c>
      <c r="C297" s="68" t="s">
        <v>835</v>
      </c>
      <c r="D297" s="68">
        <v>244</v>
      </c>
      <c r="E297" s="69">
        <v>26</v>
      </c>
      <c r="F297" s="68" t="s">
        <v>836</v>
      </c>
      <c r="G297" s="68">
        <v>519</v>
      </c>
    </row>
    <row r="298" spans="2:7" hidden="1"/>
    <row r="299" spans="2:7" hidden="1"/>
    <row r="300" spans="2:7" hidden="1">
      <c r="B300" s="51" t="s">
        <v>837</v>
      </c>
    </row>
    <row r="301" spans="2:7" hidden="1">
      <c r="B301" s="51" t="s">
        <v>838</v>
      </c>
    </row>
    <row r="302" spans="2:7" hidden="1">
      <c r="B302" s="51" t="s">
        <v>839</v>
      </c>
    </row>
    <row r="303" spans="2:7" hidden="1">
      <c r="B303" s="51" t="s">
        <v>840</v>
      </c>
    </row>
    <row r="304" spans="2:7" hidden="1">
      <c r="B304" s="51" t="s">
        <v>841</v>
      </c>
    </row>
    <row r="305" spans="2:2" hidden="1">
      <c r="B305" s="51" t="s">
        <v>845</v>
      </c>
    </row>
    <row r="306" spans="2:2" hidden="1">
      <c r="B306" s="51" t="s">
        <v>846</v>
      </c>
    </row>
    <row r="307" spans="2:2" hidden="1"/>
    <row r="308" spans="2:2" hidden="1">
      <c r="B308" s="5" t="s">
        <v>540</v>
      </c>
    </row>
    <row r="309" spans="2:2" hidden="1">
      <c r="B309" s="51" t="s">
        <v>847</v>
      </c>
    </row>
    <row r="310" spans="2:2" hidden="1">
      <c r="B310" s="51" t="s">
        <v>848</v>
      </c>
    </row>
    <row r="311" spans="2:2" hidden="1">
      <c r="B311" s="51" t="s">
        <v>849</v>
      </c>
    </row>
    <row r="312" spans="2:2" hidden="1">
      <c r="B312" s="51" t="s">
        <v>850</v>
      </c>
    </row>
    <row r="313" spans="2:2" hidden="1">
      <c r="B313" s="51" t="s">
        <v>851</v>
      </c>
    </row>
    <row r="314" spans="2:2" hidden="1">
      <c r="B314" s="51" t="s">
        <v>852</v>
      </c>
    </row>
    <row r="315" spans="2:2" hidden="1">
      <c r="B315" s="51" t="s">
        <v>853</v>
      </c>
    </row>
    <row r="316" spans="2:2" hidden="1">
      <c r="B316" s="51" t="s">
        <v>854</v>
      </c>
    </row>
    <row r="317" spans="2:2" hidden="1">
      <c r="B317" s="51" t="s">
        <v>855</v>
      </c>
    </row>
    <row r="318" spans="2:2" hidden="1">
      <c r="B318" s="51" t="s">
        <v>856</v>
      </c>
    </row>
    <row r="319" spans="2:2" hidden="1">
      <c r="B319" s="51" t="s">
        <v>857</v>
      </c>
    </row>
    <row r="320" spans="2:2" hidden="1">
      <c r="B320" s="51" t="s">
        <v>858</v>
      </c>
    </row>
    <row r="321" spans="1:2" hidden="1"/>
    <row r="322" spans="1:2" hidden="1"/>
    <row r="323" spans="1:2" hidden="1">
      <c r="A323" s="6">
        <v>17</v>
      </c>
      <c r="B323" s="60" t="s">
        <v>859</v>
      </c>
    </row>
    <row r="324" spans="1:2" hidden="1">
      <c r="B324" s="51" t="s">
        <v>545</v>
      </c>
    </row>
    <row r="325" spans="1:2" hidden="1">
      <c r="B325" s="51" t="s">
        <v>860</v>
      </c>
    </row>
    <row r="326" spans="1:2" hidden="1">
      <c r="B326" s="51" t="s">
        <v>861</v>
      </c>
    </row>
    <row r="327" spans="1:2" hidden="1">
      <c r="B327" s="51" t="s">
        <v>862</v>
      </c>
    </row>
    <row r="328" spans="1:2" hidden="1">
      <c r="B328" s="51" t="s">
        <v>863</v>
      </c>
    </row>
    <row r="329" spans="1:2" hidden="1">
      <c r="B329" s="51" t="s">
        <v>864</v>
      </c>
    </row>
    <row r="330" spans="1:2" hidden="1">
      <c r="B330" s="51" t="s">
        <v>865</v>
      </c>
    </row>
    <row r="331" spans="1:2" hidden="1">
      <c r="B331" s="51" t="s">
        <v>866</v>
      </c>
    </row>
    <row r="332" spans="1:2" hidden="1">
      <c r="B332" s="51" t="s">
        <v>867</v>
      </c>
    </row>
    <row r="333" spans="1:2" hidden="1"/>
    <row r="334" spans="1:2" hidden="1">
      <c r="B334" s="5" t="s">
        <v>550</v>
      </c>
    </row>
    <row r="335" spans="1:2" hidden="1"/>
    <row r="336" spans="1:2" hidden="1">
      <c r="B336" s="51" t="s">
        <v>868</v>
      </c>
    </row>
    <row r="337" spans="1:2" hidden="1">
      <c r="B337" s="51" t="s">
        <v>869</v>
      </c>
    </row>
    <row r="338" spans="1:2" hidden="1">
      <c r="B338" s="51" t="s">
        <v>870</v>
      </c>
    </row>
    <row r="339" spans="1:2" hidden="1">
      <c r="B339" s="51" t="s">
        <v>871</v>
      </c>
    </row>
    <row r="340" spans="1:2" hidden="1">
      <c r="B340" s="51" t="s">
        <v>872</v>
      </c>
    </row>
    <row r="341" spans="1:2" hidden="1">
      <c r="B341" s="51" t="s">
        <v>873</v>
      </c>
    </row>
    <row r="342" spans="1:2" hidden="1"/>
    <row r="343" spans="1:2" hidden="1"/>
    <row r="344" spans="1:2" ht="15" hidden="1" customHeight="1">
      <c r="A344" s="6">
        <v>18</v>
      </c>
      <c r="B344" s="60" t="s">
        <v>874</v>
      </c>
    </row>
    <row r="345" spans="1:2" ht="15" hidden="1" customHeight="1"/>
    <row r="346" spans="1:2" ht="15" hidden="1" customHeight="1">
      <c r="B346" s="51" t="s">
        <v>875</v>
      </c>
    </row>
    <row r="347" spans="1:2" ht="15" hidden="1" customHeight="1">
      <c r="B347" s="51" t="s">
        <v>876</v>
      </c>
    </row>
    <row r="348" spans="1:2" ht="15" hidden="1" customHeight="1">
      <c r="B348" s="51" t="s">
        <v>124</v>
      </c>
    </row>
    <row r="349" spans="1:2" ht="15" hidden="1" customHeight="1">
      <c r="B349" s="51" t="s">
        <v>125</v>
      </c>
    </row>
    <row r="350" spans="1:2" ht="15" hidden="1" customHeight="1">
      <c r="B350" s="51" t="s">
        <v>126</v>
      </c>
    </row>
    <row r="351" spans="1:2" ht="15" hidden="1" customHeight="1">
      <c r="B351" s="51" t="s">
        <v>127</v>
      </c>
    </row>
    <row r="352" spans="1:2" ht="15" hidden="1" customHeight="1"/>
    <row r="353" spans="1:2" ht="15" hidden="1" customHeight="1"/>
    <row r="354" spans="1:2" hidden="1">
      <c r="A354" s="6">
        <v>19</v>
      </c>
      <c r="B354" s="60" t="s">
        <v>128</v>
      </c>
    </row>
    <row r="355" spans="1:2" hidden="1">
      <c r="B355" s="5" t="s">
        <v>129</v>
      </c>
    </row>
    <row r="356" spans="1:2" hidden="1">
      <c r="B356" s="51" t="s">
        <v>130</v>
      </c>
    </row>
    <row r="357" spans="1:2" hidden="1">
      <c r="B357" s="51" t="s">
        <v>131</v>
      </c>
    </row>
    <row r="358" spans="1:2" hidden="1">
      <c r="B358" s="51" t="s">
        <v>132</v>
      </c>
    </row>
    <row r="359" spans="1:2" hidden="1">
      <c r="B359" s="51" t="s">
        <v>133</v>
      </c>
    </row>
    <row r="360" spans="1:2" hidden="1">
      <c r="B360" s="51" t="s">
        <v>134</v>
      </c>
    </row>
    <row r="361" spans="1:2" hidden="1">
      <c r="B361" s="51" t="s">
        <v>135</v>
      </c>
    </row>
    <row r="362" spans="1:2" hidden="1">
      <c r="B362" s="51" t="s">
        <v>131</v>
      </c>
    </row>
    <row r="363" spans="1:2" hidden="1">
      <c r="B363" s="5" t="s">
        <v>136</v>
      </c>
    </row>
    <row r="364" spans="1:2" hidden="1">
      <c r="B364" s="51" t="s">
        <v>130</v>
      </c>
    </row>
    <row r="365" spans="1:2" hidden="1">
      <c r="B365" s="51" t="s">
        <v>131</v>
      </c>
    </row>
    <row r="366" spans="1:2" hidden="1">
      <c r="B366" s="51" t="s">
        <v>137</v>
      </c>
    </row>
    <row r="367" spans="1:2" hidden="1">
      <c r="B367" s="51" t="s">
        <v>138</v>
      </c>
    </row>
    <row r="368" spans="1:2" hidden="1">
      <c r="B368" s="5" t="s">
        <v>139</v>
      </c>
    </row>
    <row r="369" spans="1:2" hidden="1">
      <c r="B369" s="51" t="s">
        <v>130</v>
      </c>
    </row>
    <row r="370" spans="1:2" hidden="1">
      <c r="B370" s="51" t="s">
        <v>131</v>
      </c>
    </row>
    <row r="371" spans="1:2" hidden="1">
      <c r="B371" s="51" t="s">
        <v>140</v>
      </c>
    </row>
    <row r="372" spans="1:2" hidden="1">
      <c r="B372" s="51" t="s">
        <v>141</v>
      </c>
    </row>
    <row r="373" spans="1:2" hidden="1"/>
    <row r="374" spans="1:2" hidden="1">
      <c r="A374" s="6">
        <v>20</v>
      </c>
      <c r="B374" s="60" t="s">
        <v>956</v>
      </c>
    </row>
    <row r="375" spans="1:2" hidden="1"/>
    <row r="376" spans="1:2" hidden="1">
      <c r="B376" s="51" t="s">
        <v>142</v>
      </c>
    </row>
    <row r="377" spans="1:2" hidden="1">
      <c r="B377" s="51" t="s">
        <v>143</v>
      </c>
    </row>
    <row r="378" spans="1:2" hidden="1">
      <c r="B378" s="51" t="s">
        <v>144</v>
      </c>
    </row>
    <row r="379" spans="1:2" hidden="1">
      <c r="B379" s="51" t="s">
        <v>145</v>
      </c>
    </row>
    <row r="380" spans="1:2" hidden="1">
      <c r="B380" s="51" t="s">
        <v>146</v>
      </c>
    </row>
    <row r="381" spans="1:2" hidden="1">
      <c r="B381" s="51" t="s">
        <v>147</v>
      </c>
    </row>
    <row r="382" spans="1:2" hidden="1">
      <c r="B382" s="51" t="s">
        <v>148</v>
      </c>
    </row>
    <row r="383" spans="1:2" hidden="1">
      <c r="B383" s="51" t="s">
        <v>149</v>
      </c>
    </row>
    <row r="384" spans="1:2" hidden="1">
      <c r="B384" s="51" t="s">
        <v>150</v>
      </c>
    </row>
    <row r="385" spans="1:2" hidden="1">
      <c r="B385" s="51" t="s">
        <v>151</v>
      </c>
    </row>
    <row r="386" spans="1:2" hidden="1">
      <c r="B386" s="51" t="s">
        <v>152</v>
      </c>
    </row>
    <row r="387" spans="1:2" hidden="1">
      <c r="B387" s="51" t="s">
        <v>153</v>
      </c>
    </row>
    <row r="388" spans="1:2" hidden="1">
      <c r="B388" s="51" t="s">
        <v>154</v>
      </c>
    </row>
    <row r="389" spans="1:2" hidden="1">
      <c r="B389" s="51" t="s">
        <v>155</v>
      </c>
    </row>
    <row r="390" spans="1:2" hidden="1"/>
    <row r="391" spans="1:2" hidden="1"/>
    <row r="392" spans="1:2" hidden="1">
      <c r="A392" s="6">
        <v>21</v>
      </c>
      <c r="B392" s="60" t="s">
        <v>156</v>
      </c>
    </row>
    <row r="393" spans="1:2" hidden="1"/>
    <row r="394" spans="1:2" hidden="1">
      <c r="B394" s="5" t="s">
        <v>157</v>
      </c>
    </row>
    <row r="395" spans="1:2" hidden="1">
      <c r="B395" s="51" t="s">
        <v>158</v>
      </c>
    </row>
    <row r="396" spans="1:2" hidden="1">
      <c r="B396" s="51" t="s">
        <v>159</v>
      </c>
    </row>
    <row r="397" spans="1:2" hidden="1">
      <c r="B397" s="51" t="s">
        <v>160</v>
      </c>
    </row>
    <row r="398" spans="1:2" hidden="1">
      <c r="B398" s="51" t="s">
        <v>161</v>
      </c>
    </row>
    <row r="399" spans="1:2" hidden="1"/>
    <row r="400" spans="1:2" hidden="1">
      <c r="B400" s="5" t="s">
        <v>162</v>
      </c>
    </row>
    <row r="401" spans="2:2" hidden="1">
      <c r="B401" s="51" t="s">
        <v>163</v>
      </c>
    </row>
    <row r="402" spans="2:2" hidden="1">
      <c r="B402" s="51" t="s">
        <v>164</v>
      </c>
    </row>
    <row r="403" spans="2:2" hidden="1">
      <c r="B403" s="51" t="s">
        <v>165</v>
      </c>
    </row>
    <row r="404" spans="2:2" hidden="1">
      <c r="B404" s="51" t="s">
        <v>143</v>
      </c>
    </row>
    <row r="405" spans="2:2" hidden="1">
      <c r="B405" s="51" t="s">
        <v>166</v>
      </c>
    </row>
    <row r="406" spans="2:2" hidden="1">
      <c r="B406" s="51" t="s">
        <v>167</v>
      </c>
    </row>
    <row r="407" spans="2:2" hidden="1">
      <c r="B407" s="51" t="s">
        <v>168</v>
      </c>
    </row>
    <row r="408" spans="2:2" hidden="1">
      <c r="B408" s="51" t="s">
        <v>969</v>
      </c>
    </row>
    <row r="409" spans="2:2" hidden="1">
      <c r="B409" s="51" t="s">
        <v>970</v>
      </c>
    </row>
    <row r="410" spans="2:2" hidden="1">
      <c r="B410" s="51" t="s">
        <v>971</v>
      </c>
    </row>
    <row r="411" spans="2:2" hidden="1">
      <c r="B411" s="51" t="s">
        <v>972</v>
      </c>
    </row>
    <row r="412" spans="2:2" hidden="1">
      <c r="B412" s="51" t="s">
        <v>973</v>
      </c>
    </row>
    <row r="413" spans="2:2" hidden="1"/>
    <row r="414" spans="2:2" hidden="1"/>
    <row r="415" spans="2:2" hidden="1">
      <c r="B415" s="5" t="s">
        <v>974</v>
      </c>
    </row>
    <row r="416" spans="2:2" hidden="1">
      <c r="B416" s="51" t="s">
        <v>975</v>
      </c>
    </row>
    <row r="417" spans="1:7" hidden="1">
      <c r="B417" s="51" t="s">
        <v>976</v>
      </c>
    </row>
    <row r="418" spans="1:7" hidden="1">
      <c r="B418" s="51" t="s">
        <v>977</v>
      </c>
    </row>
    <row r="419" spans="1:7" hidden="1">
      <c r="B419" s="51" t="s">
        <v>978</v>
      </c>
    </row>
    <row r="420" spans="1:7" hidden="1">
      <c r="B420" s="51" t="s">
        <v>979</v>
      </c>
    </row>
    <row r="421" spans="1:7" hidden="1">
      <c r="B421" s="51" t="s">
        <v>980</v>
      </c>
    </row>
    <row r="422" spans="1:7" hidden="1">
      <c r="B422" s="51" t="s">
        <v>983</v>
      </c>
    </row>
    <row r="423" spans="1:7" hidden="1">
      <c r="B423" s="51" t="s">
        <v>984</v>
      </c>
    </row>
    <row r="424" spans="1:7" hidden="1"/>
    <row r="425" spans="1:7" hidden="1">
      <c r="A425" s="6">
        <v>22</v>
      </c>
      <c r="B425" s="60" t="s">
        <v>985</v>
      </c>
    </row>
    <row r="426" spans="1:7" hidden="1">
      <c r="B426" s="70" t="s">
        <v>986</v>
      </c>
    </row>
    <row r="427" spans="1:7" ht="12" hidden="1" customHeight="1">
      <c r="B427" s="590" t="s">
        <v>987</v>
      </c>
      <c r="C427" s="590"/>
      <c r="D427" s="590"/>
      <c r="E427" s="590"/>
      <c r="F427" s="590"/>
      <c r="G427" s="590"/>
    </row>
    <row r="428" spans="1:7" hidden="1">
      <c r="C428" s="71"/>
      <c r="D428" s="71"/>
      <c r="E428" s="71"/>
      <c r="F428" s="71"/>
      <c r="G428" s="71"/>
    </row>
    <row r="429" spans="1:7" hidden="1">
      <c r="B429" s="72"/>
      <c r="C429" s="73"/>
      <c r="D429" s="73"/>
      <c r="E429" s="73"/>
      <c r="F429" s="73"/>
      <c r="G429" s="73"/>
    </row>
    <row r="430" spans="1:7" hidden="1">
      <c r="B430" s="3" t="s">
        <v>988</v>
      </c>
      <c r="C430" s="3" t="s">
        <v>989</v>
      </c>
      <c r="D430" s="3" t="s">
        <v>990</v>
      </c>
      <c r="E430" s="3" t="s">
        <v>991</v>
      </c>
      <c r="F430" s="3" t="s">
        <v>992</v>
      </c>
      <c r="G430" s="73"/>
    </row>
    <row r="431" spans="1:7" ht="25.5" hidden="1">
      <c r="B431" s="64">
        <v>1</v>
      </c>
      <c r="C431" s="74">
        <v>1</v>
      </c>
      <c r="D431" s="64" t="s">
        <v>993</v>
      </c>
      <c r="E431" s="64">
        <v>111</v>
      </c>
      <c r="F431" s="64" t="s">
        <v>994</v>
      </c>
      <c r="G431" s="73"/>
    </row>
    <row r="432" spans="1:7" hidden="1">
      <c r="B432" s="64">
        <v>2</v>
      </c>
      <c r="C432" s="74" t="s">
        <v>995</v>
      </c>
      <c r="D432" s="64" t="s">
        <v>996</v>
      </c>
      <c r="E432" s="64" t="s">
        <v>997</v>
      </c>
      <c r="F432" s="64">
        <v>10</v>
      </c>
      <c r="G432" s="73"/>
    </row>
    <row r="433" spans="2:7" ht="25.5" hidden="1">
      <c r="B433" s="64">
        <v>3</v>
      </c>
      <c r="C433" s="74">
        <v>21</v>
      </c>
      <c r="D433" s="64" t="s">
        <v>998</v>
      </c>
      <c r="E433" s="64">
        <v>112</v>
      </c>
      <c r="F433" s="64">
        <v>20</v>
      </c>
      <c r="G433" s="73"/>
    </row>
    <row r="434" spans="2:7" ht="25.5" hidden="1">
      <c r="B434" s="64">
        <v>4</v>
      </c>
      <c r="C434" s="74">
        <v>22</v>
      </c>
      <c r="D434" s="64" t="s">
        <v>999</v>
      </c>
      <c r="E434" s="64">
        <v>112</v>
      </c>
      <c r="F434" s="64">
        <v>10</v>
      </c>
      <c r="G434" s="73"/>
    </row>
    <row r="435" spans="2:7" ht="25.5" hidden="1">
      <c r="B435" s="64">
        <v>5</v>
      </c>
      <c r="C435" s="74" t="s">
        <v>1000</v>
      </c>
      <c r="D435" s="64" t="s">
        <v>1001</v>
      </c>
      <c r="E435" s="64" t="s">
        <v>1002</v>
      </c>
      <c r="F435" s="64">
        <v>20</v>
      </c>
      <c r="G435" s="73"/>
    </row>
    <row r="436" spans="2:7" ht="89.25" hidden="1">
      <c r="B436" s="64">
        <v>6</v>
      </c>
      <c r="C436" s="74" t="s">
        <v>1003</v>
      </c>
      <c r="D436" s="64" t="s">
        <v>1004</v>
      </c>
      <c r="E436" s="64" t="s">
        <v>1005</v>
      </c>
      <c r="F436" s="64">
        <v>50</v>
      </c>
      <c r="G436" s="73"/>
    </row>
    <row r="437" spans="2:7" ht="102" hidden="1">
      <c r="B437" s="64">
        <v>7</v>
      </c>
      <c r="C437" s="74" t="s">
        <v>1006</v>
      </c>
      <c r="D437" s="64" t="s">
        <v>1007</v>
      </c>
      <c r="E437" s="64" t="s">
        <v>1008</v>
      </c>
      <c r="F437" s="64">
        <v>30</v>
      </c>
      <c r="G437" s="73"/>
    </row>
    <row r="438" spans="2:7" ht="127.5" hidden="1">
      <c r="B438" s="64">
        <v>8</v>
      </c>
      <c r="C438" s="74" t="s">
        <v>1009</v>
      </c>
      <c r="D438" s="64" t="s">
        <v>1007</v>
      </c>
      <c r="E438" s="64" t="s">
        <v>1010</v>
      </c>
      <c r="F438" s="64">
        <v>20</v>
      </c>
      <c r="G438" s="73"/>
    </row>
    <row r="439" spans="2:7" ht="76.5" hidden="1">
      <c r="B439" s="64">
        <v>9</v>
      </c>
      <c r="C439" s="74" t="s">
        <v>1011</v>
      </c>
      <c r="D439" s="64" t="s">
        <v>1007</v>
      </c>
      <c r="E439" s="64" t="s">
        <v>1012</v>
      </c>
      <c r="F439" s="64">
        <v>10</v>
      </c>
      <c r="G439" s="73"/>
    </row>
    <row r="440" spans="2:7" ht="38.25" hidden="1">
      <c r="B440" s="64">
        <v>10</v>
      </c>
      <c r="C440" s="74" t="s">
        <v>1013</v>
      </c>
      <c r="D440" s="64" t="s">
        <v>1014</v>
      </c>
      <c r="E440" s="64" t="s">
        <v>1015</v>
      </c>
      <c r="F440" s="64">
        <v>10</v>
      </c>
      <c r="G440" s="73"/>
    </row>
    <row r="441" spans="2:7" ht="51" hidden="1">
      <c r="B441" s="64">
        <v>11</v>
      </c>
      <c r="C441" s="74" t="s">
        <v>1016</v>
      </c>
      <c r="D441" s="64" t="s">
        <v>1017</v>
      </c>
      <c r="E441" s="64" t="s">
        <v>1018</v>
      </c>
      <c r="F441" s="64">
        <v>10</v>
      </c>
      <c r="G441" s="73"/>
    </row>
    <row r="442" spans="2:7" ht="51" hidden="1">
      <c r="B442" s="64">
        <v>12</v>
      </c>
      <c r="C442" s="74" t="s">
        <v>1019</v>
      </c>
      <c r="D442" s="64" t="s">
        <v>1020</v>
      </c>
      <c r="E442" s="64" t="s">
        <v>1021</v>
      </c>
      <c r="F442" s="64">
        <v>10</v>
      </c>
      <c r="G442" s="73"/>
    </row>
    <row r="443" spans="2:7" ht="51" hidden="1">
      <c r="B443" s="64">
        <v>13</v>
      </c>
      <c r="C443" s="74" t="s">
        <v>1023</v>
      </c>
      <c r="D443" s="64" t="s">
        <v>1024</v>
      </c>
      <c r="E443" s="64" t="s">
        <v>1025</v>
      </c>
      <c r="F443" s="64">
        <v>10</v>
      </c>
      <c r="G443" s="73"/>
    </row>
    <row r="444" spans="2:7" ht="25.5" hidden="1">
      <c r="B444" s="64">
        <v>14</v>
      </c>
      <c r="C444" s="74" t="s">
        <v>1026</v>
      </c>
      <c r="D444" s="64" t="s">
        <v>220</v>
      </c>
      <c r="E444" s="64" t="s">
        <v>221</v>
      </c>
      <c r="F444" s="64">
        <v>12.5</v>
      </c>
      <c r="G444" s="73"/>
    </row>
    <row r="445" spans="2:7" ht="63.75" hidden="1">
      <c r="B445" s="64">
        <v>15</v>
      </c>
      <c r="C445" s="74" t="s">
        <v>222</v>
      </c>
      <c r="D445" s="64" t="s">
        <v>223</v>
      </c>
      <c r="E445" s="64" t="s">
        <v>224</v>
      </c>
      <c r="F445" s="64">
        <v>30</v>
      </c>
      <c r="G445" s="73"/>
    </row>
    <row r="446" spans="2:7" ht="25.5" hidden="1">
      <c r="B446" s="64">
        <v>16</v>
      </c>
      <c r="C446" s="74" t="s">
        <v>225</v>
      </c>
      <c r="D446" s="64" t="s">
        <v>226</v>
      </c>
      <c r="E446" s="64" t="s">
        <v>227</v>
      </c>
      <c r="F446" s="64">
        <v>10</v>
      </c>
      <c r="G446" s="73"/>
    </row>
    <row r="447" spans="2:7" ht="51" hidden="1">
      <c r="B447" s="64">
        <v>17</v>
      </c>
      <c r="C447" s="74" t="s">
        <v>228</v>
      </c>
      <c r="D447" s="64" t="s">
        <v>229</v>
      </c>
      <c r="E447" s="64" t="s">
        <v>230</v>
      </c>
      <c r="F447" s="64">
        <v>10</v>
      </c>
      <c r="G447" s="73"/>
    </row>
    <row r="448" spans="2:7" hidden="1">
      <c r="B448" s="64">
        <v>18</v>
      </c>
      <c r="C448" s="74" t="s">
        <v>231</v>
      </c>
      <c r="D448" s="64" t="s">
        <v>232</v>
      </c>
      <c r="E448" s="64" t="s">
        <v>233</v>
      </c>
      <c r="F448" s="64">
        <v>30</v>
      </c>
      <c r="G448" s="73"/>
    </row>
    <row r="449" spans="1:7" hidden="1">
      <c r="B449" s="64">
        <v>19</v>
      </c>
      <c r="C449" s="74" t="s">
        <v>234</v>
      </c>
      <c r="D449" s="64" t="s">
        <v>235</v>
      </c>
      <c r="E449" s="64" t="s">
        <v>236</v>
      </c>
      <c r="F449" s="64">
        <v>20</v>
      </c>
      <c r="G449" s="73"/>
    </row>
    <row r="450" spans="1:7" ht="25.5" hidden="1">
      <c r="B450" s="64">
        <v>20</v>
      </c>
      <c r="C450" s="74" t="s">
        <v>237</v>
      </c>
      <c r="D450" s="64" t="s">
        <v>238</v>
      </c>
      <c r="E450" s="64" t="s">
        <v>239</v>
      </c>
      <c r="F450" s="64">
        <v>10</v>
      </c>
      <c r="G450" s="73"/>
    </row>
    <row r="451" spans="1:7" hidden="1"/>
    <row r="452" spans="1:7" hidden="1"/>
    <row r="453" spans="1:7" hidden="1"/>
    <row r="454" spans="1:7" hidden="1">
      <c r="A454" s="6">
        <v>23</v>
      </c>
      <c r="B454" s="60" t="s">
        <v>240</v>
      </c>
    </row>
    <row r="455" spans="1:7" hidden="1">
      <c r="B455" s="51" t="s">
        <v>244</v>
      </c>
    </row>
    <row r="456" spans="1:7" hidden="1"/>
    <row r="457" spans="1:7" hidden="1">
      <c r="B457" s="51" t="s">
        <v>245</v>
      </c>
    </row>
    <row r="458" spans="1:7" hidden="1">
      <c r="B458" s="51" t="s">
        <v>246</v>
      </c>
    </row>
    <row r="459" spans="1:7" hidden="1">
      <c r="B459" s="51" t="s">
        <v>247</v>
      </c>
    </row>
    <row r="460" spans="1:7" hidden="1">
      <c r="B460" s="51" t="s">
        <v>248</v>
      </c>
    </row>
    <row r="461" spans="1:7" hidden="1"/>
    <row r="462" spans="1:7" hidden="1">
      <c r="B462" s="51" t="s">
        <v>249</v>
      </c>
    </row>
    <row r="463" spans="1:7" hidden="1">
      <c r="B463" s="51" t="s">
        <v>250</v>
      </c>
    </row>
    <row r="464" spans="1:7" hidden="1">
      <c r="B464" s="51" t="s">
        <v>273</v>
      </c>
    </row>
    <row r="465" spans="1:2" hidden="1"/>
    <row r="466" spans="1:2" hidden="1">
      <c r="A466" s="6">
        <v>24</v>
      </c>
      <c r="B466" s="60" t="s">
        <v>274</v>
      </c>
    </row>
    <row r="467" spans="1:2" hidden="1"/>
    <row r="468" spans="1:2" hidden="1">
      <c r="B468" s="51" t="s">
        <v>275</v>
      </c>
    </row>
    <row r="469" spans="1:2" hidden="1">
      <c r="B469" s="51" t="s">
        <v>276</v>
      </c>
    </row>
    <row r="470" spans="1:2" hidden="1">
      <c r="B470" s="51" t="s">
        <v>277</v>
      </c>
    </row>
    <row r="471" spans="1:2" hidden="1"/>
    <row r="472" spans="1:2" hidden="1"/>
    <row r="473" spans="1:2" hidden="1">
      <c r="A473" s="6">
        <v>25</v>
      </c>
      <c r="B473" s="60" t="s">
        <v>278</v>
      </c>
    </row>
    <row r="474" spans="1:2" hidden="1">
      <c r="B474" s="51" t="s">
        <v>279</v>
      </c>
    </row>
    <row r="475" spans="1:2" hidden="1">
      <c r="B475" s="51" t="s">
        <v>280</v>
      </c>
    </row>
    <row r="476" spans="1:2" hidden="1">
      <c r="B476" s="51" t="s">
        <v>281</v>
      </c>
    </row>
    <row r="477" spans="1:2" hidden="1">
      <c r="B477" s="51" t="s">
        <v>282</v>
      </c>
    </row>
    <row r="478" spans="1:2" hidden="1">
      <c r="B478" s="51" t="s">
        <v>283</v>
      </c>
    </row>
    <row r="479" spans="1:2" hidden="1">
      <c r="B479" s="51" t="s">
        <v>284</v>
      </c>
    </row>
    <row r="480" spans="1:2" hidden="1">
      <c r="B480" s="51" t="s">
        <v>285</v>
      </c>
    </row>
    <row r="481" spans="2:2" hidden="1">
      <c r="B481" s="51" t="s">
        <v>286</v>
      </c>
    </row>
    <row r="482" spans="2:2" hidden="1">
      <c r="B482" s="51" t="s">
        <v>287</v>
      </c>
    </row>
    <row r="483" spans="2:2" hidden="1">
      <c r="B483" s="51" t="s">
        <v>288</v>
      </c>
    </row>
    <row r="484" spans="2:2" hidden="1">
      <c r="B484" s="51" t="s">
        <v>289</v>
      </c>
    </row>
    <row r="485" spans="2:2" hidden="1">
      <c r="B485" s="51" t="s">
        <v>290</v>
      </c>
    </row>
    <row r="486" spans="2:2" hidden="1">
      <c r="B486" s="51" t="s">
        <v>291</v>
      </c>
    </row>
    <row r="487" spans="2:2" hidden="1">
      <c r="B487" s="51" t="s">
        <v>292</v>
      </c>
    </row>
    <row r="488" spans="2:2" hidden="1">
      <c r="B488" s="51" t="s">
        <v>293</v>
      </c>
    </row>
    <row r="489" spans="2:2" hidden="1">
      <c r="B489" s="51" t="s">
        <v>294</v>
      </c>
    </row>
    <row r="490" spans="2:2" hidden="1">
      <c r="B490" s="51" t="s">
        <v>295</v>
      </c>
    </row>
    <row r="491" spans="2:2" hidden="1">
      <c r="B491" s="51" t="s">
        <v>296</v>
      </c>
    </row>
    <row r="492" spans="2:2" hidden="1">
      <c r="B492" s="51" t="s">
        <v>297</v>
      </c>
    </row>
    <row r="493" spans="2:2" hidden="1">
      <c r="B493" s="51" t="s">
        <v>298</v>
      </c>
    </row>
    <row r="494" spans="2:2" hidden="1">
      <c r="B494" s="51" t="s">
        <v>299</v>
      </c>
    </row>
    <row r="495" spans="2:2" hidden="1">
      <c r="B495" s="51" t="s">
        <v>300</v>
      </c>
    </row>
    <row r="496" spans="2:2" hidden="1">
      <c r="B496" s="51" t="s">
        <v>301</v>
      </c>
    </row>
    <row r="497" spans="1:2" hidden="1">
      <c r="B497" s="51" t="s">
        <v>1027</v>
      </c>
    </row>
    <row r="498" spans="1:2" hidden="1">
      <c r="B498" s="51" t="s">
        <v>1028</v>
      </c>
    </row>
    <row r="499" spans="1:2" hidden="1">
      <c r="B499" s="51" t="s">
        <v>1029</v>
      </c>
    </row>
    <row r="500" spans="1:2" hidden="1">
      <c r="B500" s="51" t="s">
        <v>1030</v>
      </c>
    </row>
    <row r="501" spans="1:2" hidden="1">
      <c r="B501" s="51" t="s">
        <v>1031</v>
      </c>
    </row>
    <row r="502" spans="1:2" hidden="1">
      <c r="B502" s="51" t="s">
        <v>1032</v>
      </c>
    </row>
    <row r="503" spans="1:2" hidden="1">
      <c r="B503" s="51" t="s">
        <v>1033</v>
      </c>
    </row>
    <row r="504" spans="1:2" hidden="1"/>
    <row r="505" spans="1:2" hidden="1"/>
    <row r="506" spans="1:2" hidden="1"/>
    <row r="507" spans="1:2" hidden="1">
      <c r="A507" s="6">
        <v>26</v>
      </c>
      <c r="B507" s="60" t="s">
        <v>1034</v>
      </c>
    </row>
    <row r="508" spans="1:2" hidden="1"/>
    <row r="509" spans="1:2" hidden="1">
      <c r="B509" s="51" t="s">
        <v>1035</v>
      </c>
    </row>
    <row r="510" spans="1:2" hidden="1">
      <c r="B510" s="51" t="s">
        <v>1036</v>
      </c>
    </row>
    <row r="511" spans="1:2" hidden="1">
      <c r="B511" s="51" t="s">
        <v>1037</v>
      </c>
    </row>
    <row r="512" spans="1:2" hidden="1">
      <c r="B512" s="51" t="s">
        <v>1038</v>
      </c>
    </row>
    <row r="513" spans="2:2" hidden="1">
      <c r="B513" s="51" t="s">
        <v>1039</v>
      </c>
    </row>
    <row r="514" spans="2:2" hidden="1">
      <c r="B514" s="51" t="s">
        <v>1040</v>
      </c>
    </row>
    <row r="515" spans="2:2" hidden="1">
      <c r="B515" s="51" t="s">
        <v>1041</v>
      </c>
    </row>
    <row r="516" spans="2:2" hidden="1">
      <c r="B516" s="51" t="s">
        <v>1042</v>
      </c>
    </row>
    <row r="517" spans="2:2" hidden="1">
      <c r="B517" s="51" t="s">
        <v>1043</v>
      </c>
    </row>
    <row r="518" spans="2:2" hidden="1">
      <c r="B518" s="51" t="s">
        <v>1044</v>
      </c>
    </row>
    <row r="519" spans="2:2" hidden="1">
      <c r="B519" s="51" t="s">
        <v>1045</v>
      </c>
    </row>
    <row r="520" spans="2:2" hidden="1">
      <c r="B520" s="51" t="s">
        <v>1046</v>
      </c>
    </row>
    <row r="521" spans="2:2" hidden="1">
      <c r="B521" s="51" t="s">
        <v>1047</v>
      </c>
    </row>
    <row r="522" spans="2:2" hidden="1">
      <c r="B522" s="51" t="s">
        <v>1048</v>
      </c>
    </row>
    <row r="523" spans="2:2" hidden="1">
      <c r="B523" s="51" t="s">
        <v>1049</v>
      </c>
    </row>
    <row r="524" spans="2:2" hidden="1">
      <c r="B524" s="51" t="s">
        <v>1050</v>
      </c>
    </row>
    <row r="525" spans="2:2" hidden="1"/>
    <row r="526" spans="2:2" hidden="1">
      <c r="B526" s="60"/>
    </row>
    <row r="527" spans="2:2" hidden="1">
      <c r="B527" s="51" t="s">
        <v>1051</v>
      </c>
    </row>
    <row r="528" spans="2:2" hidden="1">
      <c r="B528" s="51" t="s">
        <v>1052</v>
      </c>
    </row>
    <row r="529" spans="1:2" hidden="1">
      <c r="B529" s="51" t="s">
        <v>1053</v>
      </c>
    </row>
    <row r="530" spans="1:2" hidden="1">
      <c r="B530" s="51" t="s">
        <v>1054</v>
      </c>
    </row>
    <row r="531" spans="1:2" hidden="1"/>
    <row r="532" spans="1:2" hidden="1"/>
    <row r="533" spans="1:2" hidden="1"/>
    <row r="534" spans="1:2" hidden="1">
      <c r="B534" s="60"/>
    </row>
    <row r="535" spans="1:2" hidden="1">
      <c r="B535" s="5" t="s">
        <v>1055</v>
      </c>
    </row>
    <row r="536" spans="1:2" hidden="1">
      <c r="B536" s="5" t="s">
        <v>1056</v>
      </c>
    </row>
    <row r="537" spans="1:2" hidden="1"/>
    <row r="538" spans="1:2" hidden="1">
      <c r="A538" s="6" t="s">
        <v>1057</v>
      </c>
      <c r="B538" s="51" t="s">
        <v>1058</v>
      </c>
    </row>
    <row r="539" spans="1:2" hidden="1">
      <c r="B539" s="51" t="s">
        <v>1059</v>
      </c>
    </row>
    <row r="540" spans="1:2" hidden="1">
      <c r="B540" s="51" t="s">
        <v>1061</v>
      </c>
    </row>
    <row r="541" spans="1:2" hidden="1">
      <c r="B541" s="51" t="s">
        <v>1062</v>
      </c>
    </row>
    <row r="542" spans="1:2" hidden="1">
      <c r="B542" s="51" t="s">
        <v>1063</v>
      </c>
    </row>
    <row r="543" spans="1:2" hidden="1">
      <c r="B543" s="51" t="s">
        <v>1064</v>
      </c>
    </row>
    <row r="544" spans="1:2" hidden="1">
      <c r="B544" s="51" t="s">
        <v>1065</v>
      </c>
    </row>
    <row r="545" spans="2:2" hidden="1">
      <c r="B545" s="51" t="s">
        <v>1066</v>
      </c>
    </row>
    <row r="546" spans="2:2" hidden="1">
      <c r="B546" s="51" t="s">
        <v>1069</v>
      </c>
    </row>
    <row r="547" spans="2:2" hidden="1">
      <c r="B547" s="51" t="s">
        <v>1070</v>
      </c>
    </row>
    <row r="548" spans="2:2" hidden="1">
      <c r="B548" s="51" t="s">
        <v>1073</v>
      </c>
    </row>
    <row r="549" spans="2:2" hidden="1">
      <c r="B549" s="51" t="s">
        <v>1074</v>
      </c>
    </row>
    <row r="550" spans="2:2" hidden="1">
      <c r="B550" s="51" t="s">
        <v>1075</v>
      </c>
    </row>
    <row r="551" spans="2:2" hidden="1">
      <c r="B551" s="51" t="s">
        <v>1076</v>
      </c>
    </row>
    <row r="552" spans="2:2" hidden="1">
      <c r="B552" s="51" t="s">
        <v>1077</v>
      </c>
    </row>
    <row r="553" spans="2:2" hidden="1">
      <c r="B553" s="51" t="s">
        <v>1078</v>
      </c>
    </row>
    <row r="554" spans="2:2" hidden="1">
      <c r="B554" s="51" t="s">
        <v>1079</v>
      </c>
    </row>
    <row r="555" spans="2:2" hidden="1">
      <c r="B555" s="51" t="s">
        <v>1080</v>
      </c>
    </row>
    <row r="556" spans="2:2" hidden="1">
      <c r="B556" s="51" t="s">
        <v>1081</v>
      </c>
    </row>
    <row r="557" spans="2:2" hidden="1">
      <c r="B557" s="51" t="s">
        <v>1082</v>
      </c>
    </row>
    <row r="558" spans="2:2" hidden="1">
      <c r="B558" s="51" t="s">
        <v>1083</v>
      </c>
    </row>
    <row r="559" spans="2:2" hidden="1">
      <c r="B559" s="51" t="s">
        <v>1084</v>
      </c>
    </row>
    <row r="560" spans="2:2" hidden="1">
      <c r="B560" s="51" t="s">
        <v>1085</v>
      </c>
    </row>
    <row r="561" spans="1:2" hidden="1">
      <c r="B561" s="51" t="s">
        <v>1087</v>
      </c>
    </row>
    <row r="562" spans="1:2" hidden="1">
      <c r="B562" s="51" t="s">
        <v>1088</v>
      </c>
    </row>
    <row r="563" spans="1:2" hidden="1">
      <c r="B563" s="51" t="s">
        <v>1089</v>
      </c>
    </row>
    <row r="564" spans="1:2" hidden="1"/>
    <row r="565" spans="1:2" hidden="1">
      <c r="A565" s="6" t="s">
        <v>1090</v>
      </c>
      <c r="B565" s="5" t="s">
        <v>1091</v>
      </c>
    </row>
    <row r="566" spans="1:2" hidden="1">
      <c r="B566" s="51" t="s">
        <v>1104</v>
      </c>
    </row>
    <row r="567" spans="1:2" hidden="1">
      <c r="B567" s="51" t="s">
        <v>1105</v>
      </c>
    </row>
    <row r="568" spans="1:2" hidden="1">
      <c r="B568" s="51" t="s">
        <v>1106</v>
      </c>
    </row>
    <row r="569" spans="1:2" hidden="1">
      <c r="B569" s="51" t="s">
        <v>1107</v>
      </c>
    </row>
    <row r="570" spans="1:2" hidden="1">
      <c r="B570" s="51" t="s">
        <v>1108</v>
      </c>
    </row>
    <row r="571" spans="1:2" hidden="1">
      <c r="B571" s="51" t="s">
        <v>1109</v>
      </c>
    </row>
    <row r="572" spans="1:2" hidden="1">
      <c r="B572" s="51" t="s">
        <v>1110</v>
      </c>
    </row>
    <row r="573" spans="1:2" hidden="1">
      <c r="B573" s="51" t="s">
        <v>0</v>
      </c>
    </row>
    <row r="574" spans="1:2" hidden="1">
      <c r="B574" s="51" t="s">
        <v>4</v>
      </c>
    </row>
    <row r="575" spans="1:2" hidden="1">
      <c r="B575" s="51" t="s">
        <v>5</v>
      </c>
    </row>
    <row r="576" spans="1:2" hidden="1">
      <c r="B576" s="51" t="s">
        <v>6</v>
      </c>
    </row>
    <row r="577" spans="2:2" hidden="1">
      <c r="B577" s="51" t="s">
        <v>7</v>
      </c>
    </row>
    <row r="578" spans="2:2" hidden="1">
      <c r="B578" s="51" t="s">
        <v>8</v>
      </c>
    </row>
    <row r="579" spans="2:2" hidden="1">
      <c r="B579" s="51" t="s">
        <v>9</v>
      </c>
    </row>
    <row r="580" spans="2:2" hidden="1">
      <c r="B580" s="51" t="s">
        <v>10</v>
      </c>
    </row>
    <row r="581" spans="2:2" hidden="1">
      <c r="B581" s="51" t="s">
        <v>11</v>
      </c>
    </row>
    <row r="582" spans="2:2" hidden="1">
      <c r="B582" s="51" t="s">
        <v>12</v>
      </c>
    </row>
    <row r="583" spans="2:2" hidden="1">
      <c r="B583" s="51" t="s">
        <v>35</v>
      </c>
    </row>
    <row r="584" spans="2:2" hidden="1">
      <c r="B584" s="51" t="s">
        <v>36</v>
      </c>
    </row>
    <row r="585" spans="2:2" hidden="1">
      <c r="B585" s="51" t="s">
        <v>37</v>
      </c>
    </row>
    <row r="586" spans="2:2" hidden="1"/>
    <row r="587" spans="2:2" hidden="1"/>
    <row r="588" spans="2:2" hidden="1">
      <c r="B588" s="5" t="s">
        <v>40</v>
      </c>
    </row>
    <row r="589" spans="2:2" hidden="1">
      <c r="B589" s="51" t="s">
        <v>41</v>
      </c>
    </row>
    <row r="590" spans="2:2" hidden="1">
      <c r="B590" s="51" t="s">
        <v>42</v>
      </c>
    </row>
    <row r="591" spans="2:2" hidden="1">
      <c r="B591" s="51" t="s">
        <v>43</v>
      </c>
    </row>
    <row r="592" spans="2:2" hidden="1">
      <c r="B592" s="51" t="s">
        <v>44</v>
      </c>
    </row>
    <row r="593" spans="2:12" hidden="1">
      <c r="B593" s="51" t="s">
        <v>45</v>
      </c>
    </row>
    <row r="594" spans="2:12" hidden="1">
      <c r="B594" s="51" t="s">
        <v>46</v>
      </c>
    </row>
    <row r="595" spans="2:12" hidden="1">
      <c r="B595" s="51" t="s">
        <v>47</v>
      </c>
    </row>
    <row r="596" spans="2:12" hidden="1">
      <c r="B596" s="51" t="s">
        <v>48</v>
      </c>
    </row>
    <row r="597" spans="2:12" hidden="1">
      <c r="B597" s="51" t="s">
        <v>49</v>
      </c>
    </row>
    <row r="598" spans="2:12" hidden="1">
      <c r="B598" s="51" t="s">
        <v>50</v>
      </c>
    </row>
    <row r="599" spans="2:12" hidden="1">
      <c r="B599" s="51" t="s">
        <v>51</v>
      </c>
    </row>
    <row r="600" spans="2:12" hidden="1">
      <c r="B600" s="51" t="s">
        <v>52</v>
      </c>
    </row>
    <row r="601" spans="2:12" hidden="1">
      <c r="B601" s="51" t="s">
        <v>53</v>
      </c>
    </row>
    <row r="602" spans="2:12" hidden="1"/>
    <row r="603" spans="2:12" hidden="1"/>
    <row r="604" spans="2:12" ht="12.75" hidden="1" customHeight="1">
      <c r="B604" s="575" t="s">
        <v>54</v>
      </c>
      <c r="C604" s="575"/>
      <c r="D604" s="575"/>
      <c r="E604" s="575"/>
      <c r="F604" s="575"/>
      <c r="G604" s="575"/>
      <c r="H604" s="575"/>
      <c r="I604" s="575"/>
      <c r="J604" s="575"/>
      <c r="K604" s="575"/>
      <c r="L604" s="575"/>
    </row>
    <row r="605" spans="2:12" hidden="1">
      <c r="B605" s="51" t="s">
        <v>105</v>
      </c>
    </row>
    <row r="606" spans="2:12" hidden="1">
      <c r="B606" s="51" t="s">
        <v>106</v>
      </c>
    </row>
    <row r="607" spans="2:12" hidden="1">
      <c r="B607" s="51" t="s">
        <v>107</v>
      </c>
    </row>
    <row r="608" spans="2:12" hidden="1">
      <c r="B608" s="51" t="s">
        <v>108</v>
      </c>
    </row>
    <row r="609" spans="2:2" hidden="1">
      <c r="B609" s="51" t="s">
        <v>109</v>
      </c>
    </row>
    <row r="610" spans="2:2" hidden="1">
      <c r="B610" s="51" t="s">
        <v>110</v>
      </c>
    </row>
    <row r="611" spans="2:2" hidden="1">
      <c r="B611" s="51" t="s">
        <v>111</v>
      </c>
    </row>
    <row r="612" spans="2:2" hidden="1">
      <c r="B612" s="51" t="s">
        <v>112</v>
      </c>
    </row>
    <row r="613" spans="2:2" hidden="1">
      <c r="B613" s="51" t="s">
        <v>113</v>
      </c>
    </row>
    <row r="614" spans="2:2" hidden="1">
      <c r="B614" s="51" t="s">
        <v>114</v>
      </c>
    </row>
    <row r="615" spans="2:2" hidden="1">
      <c r="B615" s="51" t="s">
        <v>175</v>
      </c>
    </row>
    <row r="616" spans="2:2" hidden="1">
      <c r="B616" s="51" t="s">
        <v>176</v>
      </c>
    </row>
    <row r="617" spans="2:2" hidden="1">
      <c r="B617" s="51" t="s">
        <v>177</v>
      </c>
    </row>
    <row r="618" spans="2:2" hidden="1">
      <c r="B618" s="51" t="s">
        <v>178</v>
      </c>
    </row>
    <row r="619" spans="2:2" hidden="1"/>
    <row r="620" spans="2:2" hidden="1"/>
    <row r="621" spans="2:2" hidden="1">
      <c r="B621" s="5" t="s">
        <v>179</v>
      </c>
    </row>
    <row r="622" spans="2:2" hidden="1">
      <c r="B622" s="51" t="s">
        <v>180</v>
      </c>
    </row>
    <row r="623" spans="2:2" hidden="1">
      <c r="B623" s="51" t="s">
        <v>181</v>
      </c>
    </row>
    <row r="624" spans="2:2" hidden="1">
      <c r="B624" s="51" t="s">
        <v>182</v>
      </c>
    </row>
    <row r="625" spans="1:2" hidden="1">
      <c r="B625" s="51" t="s">
        <v>183</v>
      </c>
    </row>
    <row r="626" spans="1:2" hidden="1">
      <c r="B626" s="51" t="s">
        <v>184</v>
      </c>
    </row>
    <row r="627" spans="1:2" hidden="1"/>
    <row r="628" spans="1:2" hidden="1"/>
    <row r="629" spans="1:2" hidden="1">
      <c r="A629" s="6" t="s">
        <v>185</v>
      </c>
      <c r="B629" s="5" t="s">
        <v>186</v>
      </c>
    </row>
    <row r="630" spans="1:2" hidden="1">
      <c r="B630" s="51" t="s">
        <v>187</v>
      </c>
    </row>
    <row r="631" spans="1:2" hidden="1">
      <c r="B631" s="51" t="s">
        <v>188</v>
      </c>
    </row>
    <row r="632" spans="1:2" hidden="1">
      <c r="B632" s="51" t="s">
        <v>189</v>
      </c>
    </row>
    <row r="633" spans="1:2" hidden="1">
      <c r="B633" s="51" t="s">
        <v>190</v>
      </c>
    </row>
    <row r="634" spans="1:2" hidden="1">
      <c r="B634" s="51" t="s">
        <v>191</v>
      </c>
    </row>
    <row r="635" spans="1:2" hidden="1">
      <c r="B635" s="51" t="s">
        <v>192</v>
      </c>
    </row>
    <row r="636" spans="1:2" hidden="1">
      <c r="B636" s="51" t="s">
        <v>193</v>
      </c>
    </row>
    <row r="637" spans="1:2" hidden="1">
      <c r="B637" s="51" t="s">
        <v>194</v>
      </c>
    </row>
    <row r="638" spans="1:2" hidden="1">
      <c r="B638" s="51" t="s">
        <v>195</v>
      </c>
    </row>
    <row r="639" spans="1:2" hidden="1">
      <c r="B639" s="51" t="s">
        <v>196</v>
      </c>
    </row>
    <row r="640" spans="1:2" hidden="1">
      <c r="B640" s="51" t="s">
        <v>197</v>
      </c>
    </row>
    <row r="641" spans="2:2" hidden="1">
      <c r="B641" s="51" t="s">
        <v>198</v>
      </c>
    </row>
    <row r="642" spans="2:2" hidden="1">
      <c r="B642" s="51" t="s">
        <v>199</v>
      </c>
    </row>
    <row r="643" spans="2:2" hidden="1">
      <c r="B643" s="51" t="s">
        <v>200</v>
      </c>
    </row>
    <row r="644" spans="2:2" hidden="1">
      <c r="B644" s="51" t="s">
        <v>201</v>
      </c>
    </row>
    <row r="645" spans="2:2" hidden="1">
      <c r="B645" s="51" t="s">
        <v>202</v>
      </c>
    </row>
    <row r="646" spans="2:2" hidden="1">
      <c r="B646" s="51" t="s">
        <v>203</v>
      </c>
    </row>
    <row r="647" spans="2:2" hidden="1">
      <c r="B647" s="51" t="s">
        <v>204</v>
      </c>
    </row>
    <row r="648" spans="2:2" hidden="1">
      <c r="B648" s="51" t="s">
        <v>205</v>
      </c>
    </row>
    <row r="649" spans="2:2" hidden="1">
      <c r="B649" s="51" t="s">
        <v>206</v>
      </c>
    </row>
    <row r="650" spans="2:2" hidden="1">
      <c r="B650" s="51" t="s">
        <v>207</v>
      </c>
    </row>
    <row r="651" spans="2:2" hidden="1">
      <c r="B651" s="51" t="s">
        <v>208</v>
      </c>
    </row>
    <row r="652" spans="2:2" hidden="1">
      <c r="B652" s="51" t="s">
        <v>209</v>
      </c>
    </row>
    <row r="653" spans="2:2" hidden="1">
      <c r="B653" s="51" t="s">
        <v>210</v>
      </c>
    </row>
    <row r="654" spans="2:2" hidden="1">
      <c r="B654" s="51" t="s">
        <v>211</v>
      </c>
    </row>
    <row r="655" spans="2:2" hidden="1">
      <c r="B655" s="51" t="s">
        <v>212</v>
      </c>
    </row>
    <row r="656" spans="2:2" hidden="1">
      <c r="B656" s="51" t="s">
        <v>213</v>
      </c>
    </row>
    <row r="657" spans="2:2" hidden="1">
      <c r="B657" s="51" t="s">
        <v>214</v>
      </c>
    </row>
    <row r="658" spans="2:2" hidden="1">
      <c r="B658" s="51" t="s">
        <v>215</v>
      </c>
    </row>
    <row r="659" spans="2:2" hidden="1">
      <c r="B659" s="51" t="s">
        <v>216</v>
      </c>
    </row>
    <row r="660" spans="2:2" hidden="1">
      <c r="B660" s="51" t="s">
        <v>217</v>
      </c>
    </row>
    <row r="661" spans="2:2" hidden="1">
      <c r="B661" s="51" t="s">
        <v>218</v>
      </c>
    </row>
    <row r="662" spans="2:2" hidden="1">
      <c r="B662" s="51" t="s">
        <v>219</v>
      </c>
    </row>
    <row r="663" spans="2:2" hidden="1">
      <c r="B663" s="51" t="s">
        <v>889</v>
      </c>
    </row>
    <row r="664" spans="2:2" hidden="1">
      <c r="B664" s="51" t="s">
        <v>890</v>
      </c>
    </row>
    <row r="665" spans="2:2" hidden="1">
      <c r="B665" s="51" t="s">
        <v>899</v>
      </c>
    </row>
    <row r="666" spans="2:2" hidden="1">
      <c r="B666" s="51" t="s">
        <v>900</v>
      </c>
    </row>
    <row r="667" spans="2:2" hidden="1">
      <c r="B667" s="51" t="s">
        <v>901</v>
      </c>
    </row>
    <row r="668" spans="2:2" hidden="1">
      <c r="B668" s="51" t="s">
        <v>902</v>
      </c>
    </row>
    <row r="669" spans="2:2" hidden="1">
      <c r="B669" s="51" t="s">
        <v>903</v>
      </c>
    </row>
    <row r="670" spans="2:2" hidden="1">
      <c r="B670" s="51" t="s">
        <v>904</v>
      </c>
    </row>
    <row r="671" spans="2:2" hidden="1">
      <c r="B671" s="51" t="s">
        <v>905</v>
      </c>
    </row>
    <row r="672" spans="2:2" hidden="1">
      <c r="B672" s="51" t="s">
        <v>906</v>
      </c>
    </row>
    <row r="673" spans="2:2" hidden="1">
      <c r="B673" s="51" t="s">
        <v>907</v>
      </c>
    </row>
    <row r="674" spans="2:2" hidden="1">
      <c r="B674" s="51" t="s">
        <v>908</v>
      </c>
    </row>
    <row r="675" spans="2:2" hidden="1">
      <c r="B675" s="51" t="s">
        <v>909</v>
      </c>
    </row>
    <row r="676" spans="2:2" hidden="1">
      <c r="B676" s="51" t="s">
        <v>910</v>
      </c>
    </row>
    <row r="677" spans="2:2" hidden="1">
      <c r="B677" s="51" t="s">
        <v>911</v>
      </c>
    </row>
    <row r="678" spans="2:2" hidden="1">
      <c r="B678" s="51" t="s">
        <v>912</v>
      </c>
    </row>
    <row r="679" spans="2:2" hidden="1">
      <c r="B679" s="51" t="s">
        <v>913</v>
      </c>
    </row>
    <row r="680" spans="2:2" hidden="1">
      <c r="B680" s="51" t="s">
        <v>914</v>
      </c>
    </row>
    <row r="681" spans="2:2" hidden="1">
      <c r="B681" s="51" t="s">
        <v>915</v>
      </c>
    </row>
    <row r="682" spans="2:2" hidden="1">
      <c r="B682" s="51" t="s">
        <v>916</v>
      </c>
    </row>
    <row r="683" spans="2:2" hidden="1">
      <c r="B683" s="51" t="s">
        <v>917</v>
      </c>
    </row>
    <row r="684" spans="2:2" hidden="1">
      <c r="B684" s="51" t="s">
        <v>918</v>
      </c>
    </row>
    <row r="685" spans="2:2" hidden="1">
      <c r="B685" s="51" t="s">
        <v>919</v>
      </c>
    </row>
    <row r="686" spans="2:2" hidden="1">
      <c r="B686" s="51" t="s">
        <v>920</v>
      </c>
    </row>
    <row r="687" spans="2:2" hidden="1">
      <c r="B687" s="51" t="s">
        <v>921</v>
      </c>
    </row>
    <row r="688" spans="2:2" hidden="1">
      <c r="B688" s="51" t="s">
        <v>923</v>
      </c>
    </row>
    <row r="689" spans="2:2" hidden="1">
      <c r="B689" s="51" t="s">
        <v>924</v>
      </c>
    </row>
    <row r="690" spans="2:2" hidden="1">
      <c r="B690" s="51" t="s">
        <v>925</v>
      </c>
    </row>
    <row r="691" spans="2:2" hidden="1"/>
    <row r="692" spans="2:2" hidden="1"/>
    <row r="693" spans="2:2" hidden="1"/>
    <row r="694" spans="2:2" hidden="1"/>
    <row r="695" spans="2:2" hidden="1"/>
    <row r="696" spans="2:2" hidden="1"/>
    <row r="697" spans="2:2" hidden="1"/>
    <row r="698" spans="2:2" hidden="1"/>
    <row r="699" spans="2:2" hidden="1"/>
    <row r="700" spans="2:2" hidden="1"/>
    <row r="701" spans="2:2" hidden="1"/>
    <row r="702" spans="2:2" hidden="1"/>
    <row r="703" spans="2:2" hidden="1"/>
    <row r="704" spans="2:2" hidden="1"/>
    <row r="705" hidden="1"/>
    <row r="706" hidden="1"/>
    <row r="707" hidden="1"/>
    <row r="708" hidden="1"/>
    <row r="709" ht="25.5" hidden="1" customHeight="1"/>
    <row r="710" ht="25.5" hidden="1" customHeight="1"/>
    <row r="711" ht="27.75" hidden="1" customHeight="1"/>
    <row r="712" hidden="1"/>
    <row r="713" hidden="1"/>
    <row r="714" hidden="1"/>
    <row r="715" ht="27" hidden="1" customHeight="1"/>
    <row r="716" hidden="1"/>
    <row r="717" hidden="1"/>
    <row r="718" hidden="1"/>
    <row r="719" hidden="1"/>
    <row r="720" ht="39" hidden="1" customHeight="1"/>
    <row r="721" hidden="1"/>
    <row r="722" hidden="1"/>
    <row r="723" hidden="1"/>
    <row r="724" hidden="1"/>
    <row r="725" hidden="1"/>
    <row r="726" ht="25.5" hidden="1" customHeight="1"/>
    <row r="727" ht="23.25" hidden="1" customHeight="1"/>
    <row r="728" ht="24" hidden="1" customHeight="1"/>
    <row r="729" hidden="1"/>
    <row r="730" hidden="1"/>
    <row r="731" ht="25.5" hidden="1" customHeight="1"/>
    <row r="732" hidden="1"/>
    <row r="733" ht="37.5" hidden="1" customHeight="1"/>
    <row r="734" ht="25.5" hidden="1" customHeight="1"/>
    <row r="735" ht="25.5" hidden="1" customHeight="1"/>
    <row r="736" hidden="1"/>
    <row r="737" hidden="1"/>
    <row r="738" hidden="1"/>
    <row r="739" hidden="1"/>
    <row r="740" hidden="1"/>
    <row r="741" hidden="1"/>
    <row r="742" ht="38.25" hidden="1" customHeight="1"/>
    <row r="743" hidden="1"/>
    <row r="744" hidden="1"/>
    <row r="745" ht="51.75" hidden="1" customHeight="1"/>
    <row r="746" ht="24.75" hidden="1" customHeight="1"/>
    <row r="747" ht="52.5" hidden="1" customHeight="1"/>
    <row r="748" ht="66" hidden="1" customHeight="1"/>
    <row r="749" ht="50.25" hidden="1" customHeight="1"/>
    <row r="750" hidden="1"/>
    <row r="751" hidden="1"/>
    <row r="752" ht="41.25" hidden="1" customHeight="1"/>
    <row r="753" spans="1:4" hidden="1"/>
    <row r="754" spans="1:4" hidden="1"/>
    <row r="755" spans="1:4" ht="39.75" hidden="1" customHeight="1">
      <c r="A755" s="7" t="s">
        <v>926</v>
      </c>
    </row>
    <row r="756" spans="1:4" ht="28.5" hidden="1" customHeight="1"/>
    <row r="757" spans="1:4" hidden="1">
      <c r="B757" s="5" t="s">
        <v>927</v>
      </c>
      <c r="C757" s="5" t="s">
        <v>928</v>
      </c>
      <c r="D757" s="5" t="s">
        <v>929</v>
      </c>
    </row>
    <row r="758" spans="1:4" hidden="1">
      <c r="B758" s="49" t="s">
        <v>930</v>
      </c>
      <c r="C758" s="49" t="s">
        <v>931</v>
      </c>
      <c r="D758" s="49" t="s">
        <v>932</v>
      </c>
    </row>
    <row r="759" spans="1:4" hidden="1">
      <c r="B759" s="49" t="s">
        <v>669</v>
      </c>
      <c r="C759" s="49" t="s">
        <v>339</v>
      </c>
      <c r="D759" s="49" t="s">
        <v>933</v>
      </c>
    </row>
    <row r="760" spans="1:4" ht="27" hidden="1" customHeight="1">
      <c r="B760" s="49" t="s">
        <v>786</v>
      </c>
      <c r="C760" s="49" t="s">
        <v>505</v>
      </c>
      <c r="D760" s="49" t="s">
        <v>934</v>
      </c>
    </row>
    <row r="761" spans="1:4" hidden="1">
      <c r="B761" s="49" t="s">
        <v>786</v>
      </c>
      <c r="C761" s="49" t="s">
        <v>509</v>
      </c>
      <c r="D761" s="49" t="s">
        <v>935</v>
      </c>
    </row>
    <row r="762" spans="1:4" hidden="1">
      <c r="B762" s="49" t="s">
        <v>793</v>
      </c>
      <c r="C762" s="49" t="s">
        <v>526</v>
      </c>
      <c r="D762" s="49" t="s">
        <v>936</v>
      </c>
    </row>
    <row r="763" spans="1:4" ht="23.25" hidden="1" customHeight="1">
      <c r="B763" s="49" t="s">
        <v>798</v>
      </c>
      <c r="C763" s="49" t="s">
        <v>534</v>
      </c>
      <c r="D763" s="75" t="s">
        <v>937</v>
      </c>
    </row>
    <row r="764" spans="1:4" hidden="1">
      <c r="B764" s="49" t="s">
        <v>798</v>
      </c>
      <c r="C764" s="49" t="s">
        <v>540</v>
      </c>
      <c r="D764" s="49" t="s">
        <v>938</v>
      </c>
    </row>
    <row r="765" spans="1:4" hidden="1">
      <c r="B765" s="49" t="s">
        <v>939</v>
      </c>
      <c r="C765" s="49" t="s">
        <v>545</v>
      </c>
      <c r="D765" s="49" t="s">
        <v>940</v>
      </c>
    </row>
    <row r="766" spans="1:4" hidden="1">
      <c r="B766" s="49" t="s">
        <v>939</v>
      </c>
      <c r="C766" s="49" t="s">
        <v>550</v>
      </c>
      <c r="D766" s="49" t="s">
        <v>940</v>
      </c>
    </row>
    <row r="767" spans="1:4" hidden="1">
      <c r="B767" s="49" t="s">
        <v>874</v>
      </c>
      <c r="C767" s="49" t="s">
        <v>557</v>
      </c>
      <c r="D767" s="49" t="s">
        <v>941</v>
      </c>
    </row>
    <row r="768" spans="1:4" hidden="1">
      <c r="B768" s="49" t="s">
        <v>156</v>
      </c>
      <c r="C768" s="49" t="s">
        <v>942</v>
      </c>
      <c r="D768" s="49" t="s">
        <v>943</v>
      </c>
    </row>
    <row r="769" spans="2:4" hidden="1">
      <c r="B769" s="49" t="s">
        <v>156</v>
      </c>
      <c r="C769" s="49" t="s">
        <v>944</v>
      </c>
      <c r="D769" s="49" t="s">
        <v>943</v>
      </c>
    </row>
    <row r="770" spans="2:4" hidden="1">
      <c r="B770" s="49" t="s">
        <v>156</v>
      </c>
      <c r="C770" s="49" t="s">
        <v>945</v>
      </c>
      <c r="D770" s="49" t="s">
        <v>943</v>
      </c>
    </row>
    <row r="771" spans="2:4" ht="25.5" hidden="1">
      <c r="B771" s="49" t="s">
        <v>156</v>
      </c>
      <c r="C771" s="49" t="s">
        <v>974</v>
      </c>
      <c r="D771" s="75" t="s">
        <v>946</v>
      </c>
    </row>
    <row r="772" spans="2:4" hidden="1">
      <c r="B772" s="49" t="s">
        <v>947</v>
      </c>
      <c r="C772" s="49" t="s">
        <v>948</v>
      </c>
      <c r="D772" s="49" t="s">
        <v>949</v>
      </c>
    </row>
    <row r="773" spans="2:4" hidden="1">
      <c r="B773" s="49" t="s">
        <v>950</v>
      </c>
      <c r="C773" s="49" t="s">
        <v>951</v>
      </c>
      <c r="D773" s="49" t="s">
        <v>952</v>
      </c>
    </row>
    <row r="774" spans="2:4" hidden="1">
      <c r="B774" s="49" t="s">
        <v>950</v>
      </c>
      <c r="C774" s="49" t="s">
        <v>953</v>
      </c>
      <c r="D774" s="49" t="s">
        <v>954</v>
      </c>
    </row>
    <row r="775" spans="2:4" hidden="1"/>
    <row r="776" spans="2:4" hidden="1"/>
    <row r="777" spans="2:4" hidden="1"/>
    <row r="778" spans="2:4" hidden="1"/>
    <row r="779" spans="2:4" hidden="1"/>
    <row r="780" spans="2:4" hidden="1"/>
    <row r="781" spans="2:4" hidden="1"/>
    <row r="782" spans="2:4" hidden="1"/>
    <row r="783" spans="2:4" hidden="1"/>
    <row r="784" spans="2: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sheetData>
  <sheetProtection password="C88E" sheet="1" objects="1" scenarios="1"/>
  <mergeCells count="21">
    <mergeCell ref="B60:G60"/>
    <mergeCell ref="B61:G61"/>
    <mergeCell ref="B604:L604"/>
    <mergeCell ref="B71:H71"/>
    <mergeCell ref="B75:H75"/>
    <mergeCell ref="B68:H68"/>
    <mergeCell ref="B70:H70"/>
    <mergeCell ref="B62:G62"/>
    <mergeCell ref="B65:H65"/>
    <mergeCell ref="B66:H66"/>
    <mergeCell ref="B427:G427"/>
    <mergeCell ref="B49:H49"/>
    <mergeCell ref="B58:G58"/>
    <mergeCell ref="B50:H50"/>
    <mergeCell ref="B51:H51"/>
    <mergeCell ref="B52:H52"/>
    <mergeCell ref="B4:E4"/>
    <mergeCell ref="B6:D6"/>
    <mergeCell ref="B15:D15"/>
    <mergeCell ref="B45:H45"/>
    <mergeCell ref="B48:H48"/>
  </mergeCells>
  <phoneticPr fontId="13" type="noConversion"/>
  <hyperlinks>
    <hyperlink ref="B124" location="s_NOB" display="NATURE  OF BUSINESS"/>
    <hyperlink ref="B425" location="s_SI" display="SI"/>
    <hyperlink ref="B168" location="s_PartBTI" display="PART_B"/>
    <hyperlink ref="B101" location="GENERAL!A1" display="GENERAL"/>
    <hyperlink ref="B120" location="'SUBSIDIARY DETAILS'!A1" display="SUBSIDIARY DETAILS"/>
    <hyperlink ref="B129" location="BALANCE_SHEET!A1" display="BALANCE_SHEET"/>
    <hyperlink ref="B138" location="PROFIT_LOSS!A1" display="PROFIT_LOSS"/>
    <hyperlink ref="B148" location="OTHER_INCOME!A1" display="OTHER_INCOME"/>
    <hyperlink ref="B160" location="QUANTITATIVE_DETAILS!A1" display="QUANTITATIVE_DETAILS"/>
    <hyperlink ref="B193" location="PART_C!A1" display="PART_C"/>
    <hyperlink ref="B224" location="HOUSE_PROPERTY!A1" display="HOUSE_PROPERTY"/>
    <hyperlink ref="B241" location="BP!A1" display="BP"/>
    <hyperlink ref="B255" location="DPM_DOA!A1" display="DPM_DOA"/>
    <hyperlink ref="B262" location="DEP_DCG!A1" display="DEP_DCG"/>
    <hyperlink ref="B270" location="ESR!A1" display="ESR"/>
    <hyperlink ref="B277" location="CG_OS!A1" display="CG_OS"/>
    <hyperlink ref="B323" location="'CYLA BFLA'!A1" display="CYLA BFLA"/>
    <hyperlink ref="B344" location="CFL!A1" display="CFL"/>
    <hyperlink ref="B354" location="'10A'!A1" display="10A"/>
    <hyperlink ref="B374" location="'80G'!A1" display="80G"/>
    <hyperlink ref="B392" location="'80_'!A1" display="80_"/>
    <hyperlink ref="B466" location="FRINGE_BENEFIT_INFO!A1" display="FRINGE_BENEFIT_INFO"/>
    <hyperlink ref="B473" location="FRINGE_BENEFITS!A1" display="FRINGE_BENEFITS"/>
    <hyperlink ref="B507" location="IT_TDS_TCS_FBT!A1" display="IT_TDS_TCS_FBT"/>
    <hyperlink ref="B18" location="i_overview" display="Overview"/>
    <hyperlink ref="B19" location="i_before" display="Before you begin"/>
    <hyperlink ref="B20" location="i_structure" display="Structure of the utility for ITR1"/>
    <hyperlink ref="B21" location="i_fill" display="Filling up the sections of the form using the utility"/>
    <hyperlink ref="B22" location="i_validate" display="Validating the sheets"/>
    <hyperlink ref="B23" location="i_generate" display="Generating the XML"/>
    <hyperlink ref="B24" location="i_print" display="Printing"/>
    <hyperlink ref="B454" location="EI!A1" display="EI / MAT"/>
    <hyperlink ref="B117" location="GENERAL2!A1" display="GENERAL2"/>
  </hyperlinks>
  <pageMargins left="0.75" right="0.75" top="1" bottom="1" header="0.5" footer="0.5"/>
  <pageSetup orientation="portrait" horizontalDpi="4294967294"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Sheet4"/>
  <dimension ref="A1:TDS34"/>
  <sheetViews>
    <sheetView tabSelected="1" workbookViewId="0"/>
  </sheetViews>
  <sheetFormatPr defaultRowHeight="12.75"/>
  <cols>
    <col min="1" max="1" width="30.42578125" bestFit="1" customWidth="1"/>
    <col min="2" max="2" width="11" bestFit="1" customWidth="1"/>
    <col min="3" max="3" width="19.28515625" customWidth="1"/>
    <col min="4" max="4" width="32.42578125" bestFit="1" customWidth="1"/>
  </cols>
  <sheetData>
    <row r="1" spans="1:4 13643:13643" ht="21.75" customHeight="1">
      <c r="A1" s="41" t="s">
        <v>591</v>
      </c>
      <c r="B1" s="41" t="s">
        <v>592</v>
      </c>
      <c r="C1" s="12" t="s">
        <v>88</v>
      </c>
      <c r="D1" s="12"/>
      <c r="TDS1">
        <v>0</v>
      </c>
    </row>
    <row r="2" spans="1:4 13643:13643">
      <c r="A2" s="150" t="s">
        <v>593</v>
      </c>
      <c r="B2" s="49">
        <v>1</v>
      </c>
      <c r="C2" s="243">
        <f>TDS_Sum</f>
        <v>0</v>
      </c>
      <c r="D2" s="5" t="s">
        <v>596</v>
      </c>
      <c r="TDS2">
        <v>4</v>
      </c>
    </row>
    <row r="3" spans="1:4 13643:13643">
      <c r="A3" s="150" t="s">
        <v>594</v>
      </c>
      <c r="B3" s="49">
        <v>2</v>
      </c>
      <c r="C3" s="243">
        <f>TDS2_Sum</f>
        <v>43030</v>
      </c>
      <c r="D3" s="51" t="s">
        <v>597</v>
      </c>
    </row>
    <row r="4" spans="1:4 13643:13643">
      <c r="A4" s="150" t="s">
        <v>474</v>
      </c>
      <c r="B4" s="49">
        <v>0</v>
      </c>
      <c r="C4" s="243">
        <f>SUM(TCS.AmtTCSClaimedThisYear)</f>
        <v>0</v>
      </c>
      <c r="D4" s="51"/>
    </row>
    <row r="5" spans="1:4 13643:13643">
      <c r="A5" s="150" t="s">
        <v>595</v>
      </c>
      <c r="B5" s="49">
        <v>0</v>
      </c>
      <c r="C5" s="243">
        <f>SelfAssessmentTax+AdvanceTax</f>
        <v>0</v>
      </c>
      <c r="D5" s="51" t="s">
        <v>598</v>
      </c>
    </row>
    <row r="6" spans="1:4 13643:13643" ht="12.75" customHeight="1">
      <c r="A6" s="51"/>
      <c r="B6" s="51"/>
      <c r="D6" s="51" t="s">
        <v>599</v>
      </c>
    </row>
    <row r="7" spans="1:4 13643:13643">
      <c r="A7" s="51"/>
      <c r="B7" s="51"/>
      <c r="D7" s="51" t="s">
        <v>600</v>
      </c>
    </row>
    <row r="8" spans="1:4 13643:13643">
      <c r="A8" s="194" t="s">
        <v>326</v>
      </c>
      <c r="B8" s="49"/>
      <c r="D8" s="51"/>
    </row>
    <row r="9" spans="1:4 13643:13643">
      <c r="A9" s="49" t="s">
        <v>89</v>
      </c>
      <c r="B9" s="244" t="str">
        <f>Ver.AssesseeVerName</f>
        <v>AJAY  KUMAR</v>
      </c>
      <c r="D9" s="51"/>
    </row>
    <row r="10" spans="1:4 13643:13643">
      <c r="A10" s="49" t="s">
        <v>90</v>
      </c>
      <c r="B10" s="244" t="str">
        <f>Ver.FatherName</f>
        <v>SH.MOLHAD SINGH</v>
      </c>
      <c r="D10" s="51"/>
    </row>
    <row r="11" spans="1:4 13643:13643">
      <c r="A11" s="49" t="s">
        <v>571</v>
      </c>
      <c r="B11" s="244" t="str">
        <f>Ver.Place</f>
        <v>MUZAFFARNAGAR(U.P.)</v>
      </c>
      <c r="D11" s="51"/>
    </row>
    <row r="12" spans="1:4 13643:13643">
      <c r="A12" s="49" t="s">
        <v>327</v>
      </c>
      <c r="B12" s="244" t="str">
        <f>Ver.Date</f>
        <v>16-03-2014</v>
      </c>
      <c r="D12" s="51"/>
    </row>
    <row r="13" spans="1:4 13643:13643">
      <c r="A13" s="49" t="s">
        <v>346</v>
      </c>
      <c r="B13" s="244" t="str">
        <f>Ver.PAN</f>
        <v>AESPK0866J</v>
      </c>
      <c r="D13" s="51"/>
    </row>
    <row r="14" spans="1:4 13643:13643">
      <c r="A14" s="51"/>
      <c r="B14" s="51"/>
      <c r="D14" s="51"/>
    </row>
    <row r="15" spans="1:4 13643:13643">
      <c r="A15" s="51"/>
      <c r="B15" s="51"/>
      <c r="D15" s="51"/>
    </row>
    <row r="16" spans="1:4 13643:13643">
      <c r="A16" s="51"/>
      <c r="B16" s="51"/>
      <c r="D16" s="51"/>
    </row>
    <row r="17" spans="1:4">
      <c r="A17" s="51"/>
      <c r="B17" s="51"/>
      <c r="D17" s="51"/>
    </row>
    <row r="18" spans="1:4" ht="13.5" customHeight="1">
      <c r="A18" s="575"/>
      <c r="B18" s="562"/>
    </row>
    <row r="19" spans="1:4" ht="12.75" customHeight="1">
      <c r="A19" s="591" t="s">
        <v>752</v>
      </c>
      <c r="B19" s="594" t="s">
        <v>754</v>
      </c>
      <c r="C19" s="595"/>
    </row>
    <row r="20" spans="1:4" ht="12.75" customHeight="1">
      <c r="A20" s="592"/>
      <c r="B20" s="596"/>
      <c r="C20" s="597"/>
      <c r="D20" s="51"/>
    </row>
    <row r="21" spans="1:4" ht="12.75" customHeight="1">
      <c r="A21" s="592"/>
      <c r="B21" s="596"/>
      <c r="C21" s="597"/>
    </row>
    <row r="22" spans="1:4" ht="12.75" customHeight="1">
      <c r="A22" s="592"/>
      <c r="B22" s="596"/>
      <c r="C22" s="597"/>
    </row>
    <row r="23" spans="1:4" ht="12.75" customHeight="1">
      <c r="A23" s="592"/>
      <c r="B23" s="596"/>
      <c r="C23" s="597"/>
    </row>
    <row r="24" spans="1:4" ht="12.75" customHeight="1">
      <c r="A24" s="592"/>
      <c r="B24" s="596"/>
      <c r="C24" s="597"/>
    </row>
    <row r="25" spans="1:4" ht="12.75" customHeight="1">
      <c r="A25" s="593"/>
      <c r="B25" s="598"/>
      <c r="C25" s="599"/>
    </row>
    <row r="26" spans="1:4" ht="12.75" customHeight="1">
      <c r="A26" s="591" t="s">
        <v>753</v>
      </c>
      <c r="B26" s="594" t="s">
        <v>755</v>
      </c>
      <c r="C26" s="595"/>
    </row>
    <row r="27" spans="1:4" ht="12.75" customHeight="1">
      <c r="A27" s="592"/>
      <c r="B27" s="596"/>
      <c r="C27" s="597"/>
    </row>
    <row r="28" spans="1:4" ht="12.75" customHeight="1">
      <c r="A28" s="592"/>
      <c r="B28" s="596"/>
      <c r="C28" s="597"/>
    </row>
    <row r="29" spans="1:4" ht="12.75" customHeight="1">
      <c r="A29" s="592"/>
      <c r="B29" s="596"/>
      <c r="C29" s="597"/>
    </row>
    <row r="30" spans="1:4" ht="12.75" customHeight="1">
      <c r="A30" s="592"/>
      <c r="B30" s="598"/>
      <c r="C30" s="599"/>
    </row>
    <row r="31" spans="1:4" ht="12.75" customHeight="1">
      <c r="A31" s="592"/>
    </row>
    <row r="32" spans="1:4" ht="12.75" customHeight="1">
      <c r="A32" s="593"/>
    </row>
    <row r="34" spans="3:3">
      <c r="C34" s="50"/>
    </row>
  </sheetData>
  <sheetProtection password="C88E" sheet="1" objects="1" scenarios="1"/>
  <mergeCells count="5">
    <mergeCell ref="A19:A25"/>
    <mergeCell ref="A18:B18"/>
    <mergeCell ref="B19:C25"/>
    <mergeCell ref="A26:A32"/>
    <mergeCell ref="B26:C30"/>
  </mergeCells>
  <phoneticPr fontId="13" type="noConversion"/>
  <hyperlinks>
    <hyperlink ref="A2" location="tdsonsal" display="TDS on Salary"/>
    <hyperlink ref="A3" location="tdsoth" display="TDS on Interest"/>
    <hyperlink ref="A5" location="bankpayment" display="Tax Payments"/>
    <hyperlink ref="A4" location="schtcs" display="TCS"/>
  </hyperlinks>
  <pageMargins left="0.75" right="0.75" top="1" bottom="1" header="0.5" footer="0.5"/>
  <pageSetup orientation="portrait" horizontalDpi="4294967294"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466</vt:i4>
      </vt:variant>
    </vt:vector>
  </HeadingPairs>
  <TitlesOfParts>
    <vt:vector size="475" baseType="lpstr">
      <vt:lpstr>Income Details</vt:lpstr>
      <vt:lpstr>44AE</vt:lpstr>
      <vt:lpstr>NOB BP</vt:lpstr>
      <vt:lpstr>TDS</vt:lpstr>
      <vt:lpstr>Taxes paid and Verification</vt:lpstr>
      <vt:lpstr>80G</vt:lpstr>
      <vt:lpstr>Calculator</vt:lpstr>
      <vt:lpstr>Instructions</vt:lpstr>
      <vt:lpstr>Pre-XML Check</vt:lpstr>
      <vt:lpstr>_Qtr1</vt:lpstr>
      <vt:lpstr>_Qtr2</vt:lpstr>
      <vt:lpstr>_Qtr3</vt:lpstr>
      <vt:lpstr>_Qtr4</vt:lpstr>
      <vt:lpstr>_Qtr5</vt:lpstr>
      <vt:lpstr>_Sat1</vt:lpstr>
      <vt:lpstr>_Sat10</vt:lpstr>
      <vt:lpstr>_Sat11</vt:lpstr>
      <vt:lpstr>_Sat12</vt:lpstr>
      <vt:lpstr>_Sat13</vt:lpstr>
      <vt:lpstr>_Sat14</vt:lpstr>
      <vt:lpstr>_Sat15</vt:lpstr>
      <vt:lpstr>_Sat16</vt:lpstr>
      <vt:lpstr>_Sat17</vt:lpstr>
      <vt:lpstr>_Sat18</vt:lpstr>
      <vt:lpstr>_Sat19</vt:lpstr>
      <vt:lpstr>_Sat2</vt:lpstr>
      <vt:lpstr>_Sat20</vt:lpstr>
      <vt:lpstr>_Sat21</vt:lpstr>
      <vt:lpstr>_Sat22</vt:lpstr>
      <vt:lpstr>_Sat23</vt:lpstr>
      <vt:lpstr>_Sat24</vt:lpstr>
      <vt:lpstr>_Sat3</vt:lpstr>
      <vt:lpstr>_Sat4</vt:lpstr>
      <vt:lpstr>_Sat5</vt:lpstr>
      <vt:lpstr>_Sat6</vt:lpstr>
      <vt:lpstr>_Sat7</vt:lpstr>
      <vt:lpstr>_Sat8</vt:lpstr>
      <vt:lpstr>_Sat9</vt:lpstr>
      <vt:lpstr>_SI1</vt:lpstr>
      <vt:lpstr>_SI2</vt:lpstr>
      <vt:lpstr>_SI3</vt:lpstr>
      <vt:lpstr>_SI4</vt:lpstr>
      <vt:lpstr>_SI5</vt:lpstr>
      <vt:lpstr>_SI6</vt:lpstr>
      <vt:lpstr>_sw1</vt:lpstr>
      <vt:lpstr>_sw2</vt:lpstr>
      <vt:lpstr>_sw3</vt:lpstr>
      <vt:lpstr>_tds1</vt:lpstr>
      <vt:lpstr>_tds2</vt:lpstr>
      <vt:lpstr>AdvanceTax</vt:lpstr>
      <vt:lpstr>AggregateInc</vt:lpstr>
      <vt:lpstr>AIR.Code001</vt:lpstr>
      <vt:lpstr>AIR.Code002</vt:lpstr>
      <vt:lpstr>AIR.Code003</vt:lpstr>
      <vt:lpstr>AIR.Code004</vt:lpstr>
      <vt:lpstr>AIR.Code005</vt:lpstr>
      <vt:lpstr>AIR.Code006</vt:lpstr>
      <vt:lpstr>AIR.Code007</vt:lpstr>
      <vt:lpstr>AIR.Code008</vt:lpstr>
      <vt:lpstr>AIR.TaxExmpIntInc</vt:lpstr>
      <vt:lpstr>allincomes</vt:lpstr>
      <vt:lpstr>avgratetax</vt:lpstr>
      <vt:lpstr>bankpayment</vt:lpstr>
      <vt:lpstr>BP_E1</vt:lpstr>
      <vt:lpstr>BP_E10</vt:lpstr>
      <vt:lpstr>BP_E2</vt:lpstr>
      <vt:lpstr>BP_E2NRI</vt:lpstr>
      <vt:lpstr>BP_E3</vt:lpstr>
      <vt:lpstr>BP_E4</vt:lpstr>
      <vt:lpstr>BP_E5</vt:lpstr>
      <vt:lpstr>BP_E6</vt:lpstr>
      <vt:lpstr>BP_E7</vt:lpstr>
      <vt:lpstr>BP_E8</vt:lpstr>
      <vt:lpstr>BP_E9</vt:lpstr>
      <vt:lpstr>C_Eligible</vt:lpstr>
      <vt:lpstr>Calc_234A</vt:lpstr>
      <vt:lpstr>Calc_234B</vt:lpstr>
      <vt:lpstr>Calc_234C</vt:lpstr>
      <vt:lpstr>Calc_ED</vt:lpstr>
      <vt:lpstr>calc_G</vt:lpstr>
      <vt:lpstr>Calc_NetSur</vt:lpstr>
      <vt:lpstr>Calc_SplRate</vt:lpstr>
      <vt:lpstr>CD_EligibleAmount</vt:lpstr>
      <vt:lpstr>CDE_EligibleAmount</vt:lpstr>
      <vt:lpstr>Clac_MR</vt:lpstr>
      <vt:lpstr>cmb_IncD.BankAccountType</vt:lpstr>
      <vt:lpstr>cmb_IncD.EcsRequired</vt:lpstr>
      <vt:lpstr>cmb_Per10080G.StateCode</vt:lpstr>
      <vt:lpstr>cmb_TDSal.StateCode</vt:lpstr>
      <vt:lpstr>Codes</vt:lpstr>
      <vt:lpstr>D_Eligible</vt:lpstr>
      <vt:lpstr>dateoffiling</vt:lpstr>
      <vt:lpstr>DateOfProcessing</vt:lpstr>
      <vt:lpstr>ded_usincome</vt:lpstr>
      <vt:lpstr>ded_usincome_44AD</vt:lpstr>
      <vt:lpstr>duedate</vt:lpstr>
      <vt:lpstr>E3_1</vt:lpstr>
      <vt:lpstr>E3_10</vt:lpstr>
      <vt:lpstr>E3_2</vt:lpstr>
      <vt:lpstr>E3_3</vt:lpstr>
      <vt:lpstr>E3_4</vt:lpstr>
      <vt:lpstr>E3_5</vt:lpstr>
      <vt:lpstr>E3_6</vt:lpstr>
      <vt:lpstr>E3_7</vt:lpstr>
      <vt:lpstr>E3_8</vt:lpstr>
      <vt:lpstr>E3_9</vt:lpstr>
      <vt:lpstr>E4_1</vt:lpstr>
      <vt:lpstr>E4_10</vt:lpstr>
      <vt:lpstr>E4_2</vt:lpstr>
      <vt:lpstr>E4_3</vt:lpstr>
      <vt:lpstr>E4_4</vt:lpstr>
      <vt:lpstr>E4_5</vt:lpstr>
      <vt:lpstr>E4_6</vt:lpstr>
      <vt:lpstr>E4_7</vt:lpstr>
      <vt:lpstr>E4_8</vt:lpstr>
      <vt:lpstr>E4_9</vt:lpstr>
      <vt:lpstr>edcess_stcgoththan111aincome</vt:lpstr>
      <vt:lpstr>edcess_usincome</vt:lpstr>
      <vt:lpstr>FormulaOfQ</vt:lpstr>
      <vt:lpstr>FormulaOfSAT</vt:lpstr>
      <vt:lpstr>FormulaOfSI</vt:lpstr>
      <vt:lpstr>g_1</vt:lpstr>
      <vt:lpstr>g_2</vt:lpstr>
      <vt:lpstr>g_3</vt:lpstr>
      <vt:lpstr>g_4</vt:lpstr>
      <vt:lpstr>g_5</vt:lpstr>
      <vt:lpstr>GAT</vt:lpstr>
      <vt:lpstr>gats</vt:lpstr>
      <vt:lpstr>GATS_44AD</vt:lpstr>
      <vt:lpstr>GTLR</vt:lpstr>
      <vt:lpstr>GTLR_44AD</vt:lpstr>
      <vt:lpstr>GTLRNEW</vt:lpstr>
      <vt:lpstr>GTLS</vt:lpstr>
      <vt:lpstr>h_1</vt:lpstr>
      <vt:lpstr>h_2</vt:lpstr>
      <vt:lpstr>h_3</vt:lpstr>
      <vt:lpstr>h_4</vt:lpstr>
      <vt:lpstr>h_5</vt:lpstr>
      <vt:lpstr>HUF</vt:lpstr>
      <vt:lpstr>HUF_AVG</vt:lpstr>
      <vt:lpstr>HUF_ED</vt:lpstr>
      <vt:lpstr>HUF_MR</vt:lpstr>
      <vt:lpstr>HUF_NetSur</vt:lpstr>
      <vt:lpstr>HUF_rebate</vt:lpstr>
      <vt:lpstr>HUF_Surcharge</vt:lpstr>
      <vt:lpstr>HUF_TH</vt:lpstr>
      <vt:lpstr>i_before</vt:lpstr>
      <vt:lpstr>i_fill</vt:lpstr>
      <vt:lpstr>i_general</vt:lpstr>
      <vt:lpstr>i_general2</vt:lpstr>
      <vt:lpstr>i_generate</vt:lpstr>
      <vt:lpstr>i_overview</vt:lpstr>
      <vt:lpstr>i_print</vt:lpstr>
      <vt:lpstr>i_structure</vt:lpstr>
      <vt:lpstr>i_tds</vt:lpstr>
      <vt:lpstr>i_validate</vt:lpstr>
      <vt:lpstr>IE3_1</vt:lpstr>
      <vt:lpstr>IE3_10</vt:lpstr>
      <vt:lpstr>IE3_2</vt:lpstr>
      <vt:lpstr>IE3_3</vt:lpstr>
      <vt:lpstr>IE3_4</vt:lpstr>
      <vt:lpstr>IE3_5</vt:lpstr>
      <vt:lpstr>IE3_6</vt:lpstr>
      <vt:lpstr>IE3_7</vt:lpstr>
      <vt:lpstr>IE3_8</vt:lpstr>
      <vt:lpstr>IE3_9</vt:lpstr>
      <vt:lpstr>IE4_1</vt:lpstr>
      <vt:lpstr>IE4_10</vt:lpstr>
      <vt:lpstr>IE4_2</vt:lpstr>
      <vt:lpstr>IE4_3</vt:lpstr>
      <vt:lpstr>IE4_4</vt:lpstr>
      <vt:lpstr>IE4_5</vt:lpstr>
      <vt:lpstr>IE4_6</vt:lpstr>
      <vt:lpstr>IE4_7</vt:lpstr>
      <vt:lpstr>IE4_8</vt:lpstr>
      <vt:lpstr>IE4_9</vt:lpstr>
      <vt:lpstr>IncD.AdvanceTax</vt:lpstr>
      <vt:lpstr>IncD.AggregateIncome</vt:lpstr>
      <vt:lpstr>IncD.BalTaxPayable</vt:lpstr>
      <vt:lpstr>IncD.BankAccountNumber</vt:lpstr>
      <vt:lpstr>IncD.BankAccountType</vt:lpstr>
      <vt:lpstr>IncD.EcsRequired</vt:lpstr>
      <vt:lpstr>IncD.EducationCess</vt:lpstr>
      <vt:lpstr>IncD.GrossTaxLiability</vt:lpstr>
      <vt:lpstr>IncD.GrossTotIncome</vt:lpstr>
      <vt:lpstr>IncD.IncomeFromBP</vt:lpstr>
      <vt:lpstr>IncD.IncomeFromHP</vt:lpstr>
      <vt:lpstr>IncD.IncomeFromOS</vt:lpstr>
      <vt:lpstr>IncD.IncomeFromSal</vt:lpstr>
      <vt:lpstr>IncD.IntrstPayUs234A</vt:lpstr>
      <vt:lpstr>IncD.IntrstPayUs234B</vt:lpstr>
      <vt:lpstr>IncD.IntrstPayUs234C</vt:lpstr>
      <vt:lpstr>IncD.MICRCode</vt:lpstr>
      <vt:lpstr>IncD.NetAgriculturalIncome</vt:lpstr>
      <vt:lpstr>IncD.NetTaxLiability</vt:lpstr>
      <vt:lpstr>IncD.RebateOnAgriInc</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IncD.Section80CCF</vt:lpstr>
      <vt:lpstr>IncD.Section80CCF_Calc</vt:lpstr>
      <vt:lpstr>IncD.Section80CCG</vt:lpstr>
      <vt:lpstr>IncD.Section80CCG_Calc</vt:lpstr>
      <vt:lpstr>IncD.Section80D</vt:lpstr>
      <vt:lpstr>IncD.Section80D_Calc</vt:lpstr>
      <vt:lpstr>IncD.Section80DD</vt:lpstr>
      <vt:lpstr>IncD.Section80DD_Calc</vt:lpstr>
      <vt:lpstr>IncD.Section80DDB</vt:lpstr>
      <vt:lpstr>IncD.Section80DDB_Calc</vt:lpstr>
      <vt:lpstr>IncD.Section80E</vt:lpstr>
      <vt:lpstr>IncD.Section80E_Calc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IncD.Section80U</vt:lpstr>
      <vt:lpstr>IncD.Section80U_Calc</vt:lpstr>
      <vt:lpstr>IncD.Section89</vt:lpstr>
      <vt:lpstr>IncD.Section90and91</vt:lpstr>
      <vt:lpstr>IncD.SelfAssessmentTax</vt:lpstr>
      <vt:lpstr>IncD.SurchargeOnTaxPayable</vt:lpstr>
      <vt:lpstr>IncD.TaxOnAggregateInc</vt:lpstr>
      <vt:lpstr>IncD.TCS</vt:lpstr>
      <vt:lpstr>IncD.TDS</vt:lpstr>
      <vt:lpstr>IncD.TotalChapVIADeductions</vt:lpstr>
      <vt:lpstr>IncD.TotalChapVIADeductions_Input</vt:lpstr>
      <vt:lpstr>IncD.TotalIncome</vt:lpstr>
      <vt:lpstr>IncD.TotalIntrstPay</vt:lpstr>
      <vt:lpstr>IncD.TotalTaxesPaid</vt:lpstr>
      <vt:lpstr>IncD.TotalTaxPayable</vt:lpstr>
      <vt:lpstr>IncD.TotTaxPlusIntrstPay</vt:lpstr>
      <vt:lpstr>IncD.TypeOfHP</vt:lpstr>
      <vt:lpstr>int234C</vt:lpstr>
      <vt:lpstr>IT.Amt</vt:lpstr>
      <vt:lpstr>IT.FormulaOFS</vt:lpstr>
      <vt:lpstr>IT.FormulaOFS1</vt:lpstr>
      <vt:lpstr>lotteryincome</vt:lpstr>
      <vt:lpstr>NOB.Code</vt:lpstr>
      <vt:lpstr>NOB.TradeNameOrDescription</vt:lpstr>
      <vt:lpstr>NOB.TradeNameOrDescription2</vt:lpstr>
      <vt:lpstr>NOB.TradeNameOrDescription3</vt:lpstr>
      <vt:lpstr>NOR</vt:lpstr>
      <vt:lpstr>NOR_AVG</vt:lpstr>
      <vt:lpstr>NOR_ED</vt:lpstr>
      <vt:lpstr>NOR_MR</vt:lpstr>
      <vt:lpstr>NOR_NetSur</vt:lpstr>
      <vt:lpstr>NOR_rebate</vt:lpstr>
      <vt:lpstr>NOR_Surcharge</vt:lpstr>
      <vt:lpstr>NOR_TH</vt:lpstr>
      <vt:lpstr>NRI</vt:lpstr>
      <vt:lpstr>NRI_AVG</vt:lpstr>
      <vt:lpstr>NRI_ED</vt:lpstr>
      <vt:lpstr>NRI_MR</vt:lpstr>
      <vt:lpstr>NRI_NetSur</vt:lpstr>
      <vt:lpstr>NRI_rebate</vt:lpstr>
      <vt:lpstr>NRI_Surcharge</vt:lpstr>
      <vt:lpstr>NRI_TH</vt:lpstr>
      <vt:lpstr>Per10080G.AddrDetail</vt:lpstr>
      <vt:lpstr>Per10080G.CityOrTownOrDistrict</vt:lpstr>
      <vt:lpstr>Per10080G.DonationAmt</vt:lpstr>
      <vt:lpstr>Per10080G.DoneeName</vt:lpstr>
      <vt:lpstr>Per10080G.DoneePAN</vt:lpstr>
      <vt:lpstr>Per10080G.EligibleAmt</vt:lpstr>
      <vt:lpstr>Per10080G.EligibleAmtCalc</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Per5080G.EligibleAmtCalc</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PerNO5080G.EligibleAmtCalc</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PerYES10080G.EligibleAmtCalc</vt:lpstr>
      <vt:lpstr>PerYES10080G.PinCode</vt:lpstr>
      <vt:lpstr>PerYES10080G.StateCode</vt:lpstr>
      <vt:lpstr>PerYES10080G.TotDon100Percent</vt:lpstr>
      <vt:lpstr>PerYES10080G.TotElig100Percent</vt:lpstr>
      <vt:lpstr>'Income Details'!Print_Area</vt:lpstr>
      <vt:lpstr>'Taxes paid and Verification'!Print_Area</vt:lpstr>
      <vt:lpstr>QualifyingAmount80G</vt:lpstr>
      <vt:lpstr>Rebate_AgriInc</vt:lpstr>
      <vt:lpstr>Rebate_AgriInc_Calc</vt:lpstr>
      <vt:lpstr>Res_F_AVG</vt:lpstr>
      <vt:lpstr>Res_F_ED</vt:lpstr>
      <vt:lpstr>Res_F_MR</vt:lpstr>
      <vt:lpstr>Res_F_NetSur</vt:lpstr>
      <vt:lpstr>Res_F_rebate</vt:lpstr>
      <vt:lpstr>Res_F_RebateAgri</vt:lpstr>
      <vt:lpstr>Res_F_Surcharge</vt:lpstr>
      <vt:lpstr>Res_F_TH</vt:lpstr>
      <vt:lpstr>Res_F_TXN</vt:lpstr>
      <vt:lpstr>Res_M_AVG</vt:lpstr>
      <vt:lpstr>Res_M_ED</vt:lpstr>
      <vt:lpstr>Res_M_MR</vt:lpstr>
      <vt:lpstr>Res_M_NetSur</vt:lpstr>
      <vt:lpstr>Res_M_rebate</vt:lpstr>
      <vt:lpstr>Res_M_Surcharge</vt:lpstr>
      <vt:lpstr>Res_M_TH</vt:lpstr>
      <vt:lpstr>Res_M_TXN</vt:lpstr>
      <vt:lpstr>RES_senior</vt:lpstr>
      <vt:lpstr>RES_senior_AVG</vt:lpstr>
      <vt:lpstr>RES_senior_ED</vt:lpstr>
      <vt:lpstr>RES_senior_MR</vt:lpstr>
      <vt:lpstr>RES_senior_NetSur</vt:lpstr>
      <vt:lpstr>RES_senior_rebate</vt:lpstr>
      <vt:lpstr>RES_senior_Surcharge</vt:lpstr>
      <vt:lpstr>RES_senior_TH</vt:lpstr>
      <vt:lpstr>RES_ssenior</vt:lpstr>
      <vt:lpstr>RES_ssenior_AVG</vt:lpstr>
      <vt:lpstr>RES_ssenior_ED</vt:lpstr>
      <vt:lpstr>RES_ssenior_MR</vt:lpstr>
      <vt:lpstr>RES_ssenior_NetSur</vt:lpstr>
      <vt:lpstr>RES_ssenior_rebate</vt:lpstr>
      <vt:lpstr>RES_ssenior_Surcharge</vt:lpstr>
      <vt:lpstr>RES_ssenior_TH</vt:lpstr>
      <vt:lpstr>schtcs</vt:lpstr>
      <vt:lpstr>SelfAssessmentTax</vt:lpstr>
      <vt:lpstr>'Income Details'!sheet1.CityOrTownOrDistrict</vt:lpstr>
      <vt:lpstr>sheet1.CountryCode</vt:lpstr>
      <vt:lpstr>sheet1.DesigOfficerWardorCircle</vt:lpstr>
      <vt:lpstr>'Income Details'!sheet1.DOB</vt:lpstr>
      <vt:lpstr>'Income Details'!sheet1.EmailAddress</vt:lpstr>
      <vt:lpstr>'Income Details'!sheet1.EmployerCategory</vt:lpstr>
      <vt:lpstr>'Income Details'!sheet1.EmployerCategory1</vt:lpstr>
      <vt:lpstr>sheet1.FirstName</vt:lpstr>
      <vt:lpstr>'Income Details'!sheet1.Gender</vt:lpstr>
      <vt:lpstr>'Income Details'!sheet1.Gender1</vt:lpstr>
      <vt:lpstr>sheet1.LocalityOrArea</vt:lpstr>
      <vt:lpstr>sheet1.MiddleName</vt:lpstr>
      <vt:lpstr>sheet1.Mobileno</vt:lpstr>
      <vt:lpstr>sheet1.MobileNoSec</vt:lpstr>
      <vt:lpstr>sheet1.newcountrycode</vt:lpstr>
      <vt:lpstr>sheet1.newstcode</vt:lpstr>
      <vt:lpstr>sheet1.NoticeDate</vt:lpstr>
      <vt:lpstr>sheet1.NoticeNo</vt:lpstr>
      <vt:lpstr>'Income Details'!sheet1.OrigRetFiledDate</vt:lpstr>
      <vt:lpstr>'Income Details'!sheet1.PAN</vt:lpstr>
      <vt:lpstr>'Income Details'!sheet1.PhoneNo</vt:lpstr>
      <vt:lpstr>'Income Details'!sheet1.PinCode</vt:lpstr>
      <vt:lpstr>sheet1.PortugeseCC5A</vt:lpstr>
      <vt:lpstr>'Income Details'!sheet1.ReceiptNo</vt:lpstr>
      <vt:lpstr>sheet1.ReceiptNo1399</vt:lpstr>
      <vt:lpstr>sheet1.ResidenceNo</vt:lpstr>
      <vt:lpstr>'Income Details'!sheet1.ResidentialStatus</vt:lpstr>
      <vt:lpstr>'Income Details'!sheet1.ResidentialStatus1</vt:lpstr>
      <vt:lpstr>'Income Details'!sheet1.ReturnFileSec</vt:lpstr>
      <vt:lpstr>'Income Details'!sheet1.ReturnFileSec1</vt:lpstr>
      <vt:lpstr>sheet1.ReturnType</vt:lpstr>
      <vt:lpstr>'Income Details'!sheet1.ReturnType1</vt:lpstr>
      <vt:lpstr>sheet1.RoadOrStreet</vt:lpstr>
      <vt:lpstr>'Income Details'!sheet1.StateCode</vt:lpstr>
      <vt:lpstr>sheet1.StateCode1</vt:lpstr>
      <vt:lpstr>'Income Details'!sheet1.Status</vt:lpstr>
      <vt:lpstr>sheet1.Status1</vt:lpstr>
      <vt:lpstr>'Income Details'!sheet1.STDcode</vt:lpstr>
      <vt:lpstr>sheet1.SurNameOrOrgName</vt:lpstr>
      <vt:lpstr>sheet1.SwVersionNo</vt:lpstr>
      <vt:lpstr>sheet1.TaxStatus</vt:lpstr>
      <vt:lpstr>SI.SplRateInc</vt:lpstr>
      <vt:lpstr>SplRate</vt:lpstr>
      <vt:lpstr>Sur_Calc</vt:lpstr>
      <vt:lpstr>Sur_limit</vt:lpstr>
      <vt:lpstr>Sur_Rate</vt:lpstr>
      <vt:lpstr>sur_stcgoththan111aincome</vt:lpstr>
      <vt:lpstr>sur_usincome</vt:lpstr>
      <vt:lpstr>TaxP.Amt</vt:lpstr>
      <vt:lpstr>TaxP.Amt1</vt:lpstr>
      <vt:lpstr>TaxP.BSRCode</vt:lpstr>
      <vt:lpstr>TaxP.DateDep</vt:lpstr>
      <vt:lpstr>TaxP.SrlNoOfChaln</vt:lpstr>
      <vt:lpstr>tcs</vt:lpstr>
      <vt:lpstr>TCS.AmtTCSClaimedThisYear</vt:lpstr>
      <vt:lpstr>TCS.EmployerOrDeductorOrCollecterName</vt:lpstr>
      <vt:lpstr>TCS.TAN</vt:lpstr>
      <vt:lpstr>TCS.TotalTCS</vt:lpstr>
      <vt:lpstr>TDS_Sum</vt:lpstr>
      <vt:lpstr>TDS2_Sum</vt:lpstr>
      <vt:lpstr>TDSal.EmployerOrDeductorOrCollecterName</vt:lpstr>
      <vt:lpstr>TDSal.IncChrgSal</vt:lpstr>
      <vt:lpstr>TDSal.TAN</vt:lpstr>
      <vt:lpstr>TDSal.TotalTDSSal</vt:lpstr>
      <vt:lpstr>TDSINCSAL.SUM</vt:lpstr>
      <vt:lpstr>tdsonsal</vt:lpstr>
      <vt:lpstr>tdsoth</vt:lpstr>
      <vt:lpstr>TDSoth.ClaimOutOfTotTDSOnAmtPaid</vt:lpstr>
      <vt:lpstr>TDSoth.DeductedYear</vt:lpstr>
      <vt:lpstr>TDSoth.EmployerOrDeductorOrCollecterName</vt:lpstr>
      <vt:lpstr>TDSoth.TAN</vt:lpstr>
      <vt:lpstr>TDSoth.TotTDSOnAmtPaid</vt:lpstr>
      <vt:lpstr>TDSoth.UTN</vt:lpstr>
      <vt:lpstr>THRESOLD</vt:lpstr>
      <vt:lpstr>TI</vt:lpstr>
      <vt:lpstr>tp</vt:lpstr>
      <vt:lpstr>TXN</vt:lpstr>
      <vt:lpstr>TXN_Calc</vt:lpstr>
      <vt:lpstr>usincome</vt:lpstr>
      <vt:lpstr>VE3_1</vt:lpstr>
      <vt:lpstr>VE3_10</vt:lpstr>
      <vt:lpstr>VE3_2</vt:lpstr>
      <vt:lpstr>VE3_3</vt:lpstr>
      <vt:lpstr>VE3_4</vt:lpstr>
      <vt:lpstr>VE3_5</vt:lpstr>
      <vt:lpstr>VE3_6</vt:lpstr>
      <vt:lpstr>VE3_7</vt:lpstr>
      <vt:lpstr>VE3_8</vt:lpstr>
      <vt:lpstr>VE3_9</vt:lpstr>
      <vt:lpstr>VE3E4_1</vt:lpstr>
      <vt:lpstr>VE4_1</vt:lpstr>
      <vt:lpstr>VE4_10</vt:lpstr>
      <vt:lpstr>VE4_2</vt:lpstr>
      <vt:lpstr>VE4_3</vt:lpstr>
      <vt:lpstr>VE4_4</vt:lpstr>
      <vt:lpstr>VE4_5</vt:lpstr>
      <vt:lpstr>VE4_6</vt:lpstr>
      <vt:lpstr>VE4_7</vt:lpstr>
      <vt:lpstr>VE4_8</vt:lpstr>
      <vt:lpstr>VE4_9</vt:lpstr>
      <vt:lpstr>Ver.AssesseeVerName</vt:lpstr>
      <vt:lpstr>Ver.Date</vt:lpstr>
      <vt:lpstr>Ver.FatherName</vt:lpstr>
      <vt:lpstr>Ver.IdentificationNoOfTRP</vt:lpstr>
      <vt:lpstr>Ver.NameOfTRP</vt:lpstr>
      <vt:lpstr>Ver.PAN</vt:lpstr>
      <vt:lpstr>Ver.Place</vt:lpstr>
      <vt:lpstr>Ver.ReImbFrmGov</vt:lpstr>
      <vt:lpstr>w_1</vt:lpstr>
      <vt:lpstr>W1_44AD</vt:lpstr>
      <vt:lpstr>w1deductions</vt:lpstr>
      <vt:lpstr>ya</vt:lpstr>
      <vt:lpstr>yb</vt:lpstr>
      <vt:lpstr>yc</vt:lpstr>
      <vt:lpstr>yd</vt:lpstr>
      <vt:lpstr>ye</vt:lpstr>
    </vt:vector>
  </TitlesOfParts>
  <Company>ADP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ADP</dc:creator>
  <cp:lastModifiedBy>ss</cp:lastModifiedBy>
  <cp:lastPrinted>2012-04-25T08:13:33Z</cp:lastPrinted>
  <dcterms:created xsi:type="dcterms:W3CDTF">2002-08-16T18:50:41Z</dcterms:created>
  <dcterms:modified xsi:type="dcterms:W3CDTF">2014-03-16T14:28:13Z</dcterms:modified>
</cp:coreProperties>
</file>